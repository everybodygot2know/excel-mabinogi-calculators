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co\Desktop\Portfolio\"/>
    </mc:Choice>
  </mc:AlternateContent>
  <xr:revisionPtr revIDLastSave="0" documentId="13_ncr:1_{C1CCD28A-77E6-4DE1-AB73-F4F0A0A8748B}" xr6:coauthVersionLast="47" xr6:coauthVersionMax="47" xr10:uidLastSave="{00000000-0000-0000-0000-000000000000}"/>
  <bookViews>
    <workbookView xWindow="-120" yWindow="-120" windowWidth="38640" windowHeight="21840" xr2:uid="{0AACE697-9AD6-45EC-AC97-D0DE5B66C2F2}"/>
  </bookViews>
  <sheets>
    <sheet name="Protection Logarithm" sheetId="4" r:id="rId1"/>
    <sheet name="Red vs. Blue Calculator" sheetId="3" r:id="rId2"/>
    <sheet name="Alban Totem Calculator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4" l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98" i="4"/>
  <c r="C299" i="4"/>
  <c r="C300" i="4"/>
  <c r="C301" i="4"/>
  <c r="C302" i="4"/>
  <c r="C303" i="4"/>
  <c r="C304" i="4"/>
  <c r="C305" i="4"/>
  <c r="C307" i="4"/>
  <c r="C309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7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8" i="4"/>
  <c r="D9" i="4"/>
  <c r="D10" i="4"/>
  <c r="D11" i="4"/>
  <c r="D12" i="4"/>
  <c r="D13" i="4"/>
  <c r="D14" i="4"/>
  <c r="D15" i="4"/>
  <c r="D7" i="4"/>
  <c r="C8" i="4"/>
  <c r="C9" i="4"/>
  <c r="C10" i="4"/>
  <c r="C11" i="4"/>
  <c r="C12" i="4"/>
  <c r="C13" i="4"/>
  <c r="C14" i="4"/>
  <c r="C15" i="4"/>
  <c r="C125" i="4"/>
  <c r="C126" i="4"/>
  <c r="C127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128" i="4"/>
  <c r="C129" i="4"/>
  <c r="C130" i="4"/>
  <c r="C131" i="4"/>
  <c r="C132" i="4"/>
  <c r="C133" i="4"/>
  <c r="C134" i="4"/>
  <c r="B16" i="3"/>
  <c r="B15" i="3"/>
  <c r="B17" i="3" s="1"/>
  <c r="B9" i="1"/>
  <c r="J20" i="3"/>
  <c r="J21" i="3"/>
  <c r="J22" i="3"/>
  <c r="J23" i="3"/>
  <c r="J24" i="3"/>
  <c r="J25" i="3"/>
  <c r="J26" i="3"/>
  <c r="J27" i="3"/>
  <c r="J28" i="3"/>
  <c r="J29" i="3"/>
  <c r="J19" i="3"/>
  <c r="I20" i="3"/>
  <c r="I21" i="3"/>
  <c r="I22" i="3"/>
  <c r="I23" i="3"/>
  <c r="I24" i="3"/>
  <c r="I25" i="3"/>
  <c r="I26" i="3"/>
  <c r="I27" i="3"/>
  <c r="I28" i="3"/>
  <c r="I29" i="3"/>
  <c r="I19" i="3"/>
  <c r="H20" i="3"/>
  <c r="H21" i="3"/>
  <c r="H22" i="3"/>
  <c r="H23" i="3"/>
  <c r="H24" i="3"/>
  <c r="H25" i="3"/>
  <c r="H26" i="3"/>
  <c r="H27" i="3"/>
  <c r="H28" i="3"/>
  <c r="H29" i="3"/>
  <c r="H19" i="3"/>
  <c r="J5" i="3"/>
  <c r="J6" i="3"/>
  <c r="J7" i="3"/>
  <c r="J8" i="3"/>
  <c r="J9" i="3"/>
  <c r="J10" i="3"/>
  <c r="J11" i="3"/>
  <c r="J12" i="3"/>
  <c r="J13" i="3"/>
  <c r="J14" i="3"/>
  <c r="J4" i="3"/>
  <c r="I5" i="3"/>
  <c r="I6" i="3"/>
  <c r="I7" i="3"/>
  <c r="I8" i="3"/>
  <c r="I9" i="3"/>
  <c r="I10" i="3"/>
  <c r="I11" i="3"/>
  <c r="I12" i="3"/>
  <c r="I13" i="3"/>
  <c r="I14" i="3"/>
  <c r="I4" i="3"/>
  <c r="H5" i="3"/>
  <c r="H6" i="3"/>
  <c r="H7" i="3"/>
  <c r="H8" i="3"/>
  <c r="H9" i="3"/>
  <c r="H10" i="3"/>
  <c r="H11" i="3"/>
  <c r="H12" i="3"/>
  <c r="H13" i="3"/>
  <c r="H14" i="3"/>
  <c r="H4" i="3"/>
  <c r="E5" i="3"/>
  <c r="B5" i="3"/>
  <c r="B10" i="1"/>
  <c r="B6" i="1"/>
  <c r="E6" i="1"/>
  <c r="C62" i="4" l="1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306" i="4"/>
  <c r="C308" i="4"/>
  <c r="C310" i="4"/>
  <c r="C7" i="4"/>
  <c r="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Nuco</author>
  </authors>
  <commentList>
    <comment ref="B2" authorId="0" shapeId="0" xr:uid="{C8B363F5-95AC-4A67-BC04-E37D2033C77D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added crit damage (%); e.g. homestead figures, set effects, alban totem, arcana bonus</t>
        </r>
      </text>
    </comment>
    <comment ref="B8" authorId="0" shapeId="0" xr:uid="{55AD06F1-0953-40BB-BF5F-77B6F6962887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totem bonus damage (%)</t>
        </r>
      </text>
    </comment>
    <comment ref="B9" authorId="0" shapeId="0" xr:uid="{AA06C9E4-724E-498B-8835-27A7B8B2D14E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homestead figure bonus damage (%) - NOT SEQUEL</t>
        </r>
      </text>
    </comment>
    <comment ref="B10" authorId="0" shapeId="0" xr:uid="{5C7C2C39-7341-44F9-A298-98E192071E60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homestead SEQUEL figure (not regular)</t>
        </r>
      </text>
    </comment>
    <comment ref="B14" authorId="0" shapeId="0" xr:uid="{E5280B39-2C04-446E-AF3B-DFACBAC21811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unmodified max damage stats (e.g. no buffs)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Nuco</author>
  </authors>
  <commentList>
    <comment ref="B5" authorId="0" shapeId="0" xr:uid="{4139F5CB-A8CF-42D1-ABFF-9F9BF4CB658E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'0' if Blue Upgrade</t>
        </r>
      </text>
    </comment>
    <comment ref="B8" authorId="0" shapeId="0" xr:uid="{FB5D4EEF-FBB2-47EC-917D-46F6297CCD6A}">
      <text>
        <r>
          <rPr>
            <b/>
            <sz val="9"/>
            <color indexed="81"/>
            <rFont val="Tahoma"/>
            <family val="2"/>
          </rPr>
          <t>Nuco:</t>
        </r>
        <r>
          <rPr>
            <sz val="9"/>
            <color indexed="81"/>
            <rFont val="Tahoma"/>
            <family val="2"/>
          </rPr>
          <t xml:space="preserve">
Input Unmodified Max Damage Stats (e.g. no buffs)</t>
        </r>
      </text>
    </comment>
  </commentList>
</comments>
</file>

<file path=xl/sharedStrings.xml><?xml version="1.0" encoding="utf-8"?>
<sst xmlns="http://schemas.openxmlformats.org/spreadsheetml/2006/main" count="71" uniqueCount="46">
  <si>
    <t>Yvona LVL 50</t>
  </si>
  <si>
    <t>Ego</t>
  </si>
  <si>
    <t>Special Upgrade (R7)</t>
  </si>
  <si>
    <t>Total</t>
  </si>
  <si>
    <t>Crit Damage HS Figure, 
Set Effects, Arcana Link Bonus (EK)</t>
  </si>
  <si>
    <t>Nele LVL 50</t>
  </si>
  <si>
    <t>Arcana LVL 150</t>
  </si>
  <si>
    <t>Crit Damage (%)</t>
  </si>
  <si>
    <t>Max Damage</t>
  </si>
  <si>
    <t>Max Damage Totem LVL 5 (+25)</t>
  </si>
  <si>
    <t>Crit Damage Totem LVL 5 (+5%)</t>
  </si>
  <si>
    <t>Which is Better?</t>
  </si>
  <si>
    <t>Crit Damage HS Figure &amp; Set Effects</t>
  </si>
  <si>
    <t>(%)</t>
  </si>
  <si>
    <t>Crit Damage</t>
  </si>
  <si>
    <t>Crit Chance</t>
  </si>
  <si>
    <t>Totem</t>
  </si>
  <si>
    <t>Homestead Figure</t>
  </si>
  <si>
    <t>Homestead Sequel</t>
  </si>
  <si>
    <t>Bonus Damage</t>
  </si>
  <si>
    <t>Upgrade Stone Effects</t>
  </si>
  <si>
    <t>Fixed Damage</t>
  </si>
  <si>
    <t>Bonus Damage (%)</t>
  </si>
  <si>
    <t>Red vs. Blue Upgrade</t>
  </si>
  <si>
    <t>S7</t>
  </si>
  <si>
    <t>R7</t>
  </si>
  <si>
    <t>Result</t>
  </si>
  <si>
    <t>Upgrade Effects</t>
  </si>
  <si>
    <t>2h Weapons 
(Bow, Control Bar, Crossbow, 
2h Sword/Hammer/Axe, Knuckles, 
Chain Blades, Lance)</t>
  </si>
  <si>
    <t>1h Weapons (Swords)</t>
  </si>
  <si>
    <t>1h Weapons (Axe)</t>
  </si>
  <si>
    <t>BLUE UPGRADE</t>
  </si>
  <si>
    <t>Max (Unbuffed)</t>
  </si>
  <si>
    <t>Crit DMG</t>
  </si>
  <si>
    <t>No Crit DMG</t>
  </si>
  <si>
    <t>AVG DMG</t>
  </si>
  <si>
    <t>RED UPGRADE</t>
  </si>
  <si>
    <t>ALBAN TOTEM CALCULATOR - MAX OR CRIT DMG?</t>
  </si>
  <si>
    <t>Stats/Protection</t>
  </si>
  <si>
    <t>This table shows the stat ratio of "Protection" and "Magic Protection" to their respective "Actual" reductions &amp; HP increases.</t>
  </si>
  <si>
    <t>Protection</t>
  </si>
  <si>
    <t>Physical Reduction (%)</t>
  </si>
  <si>
    <t>HP Increase (%)</t>
  </si>
  <si>
    <t>Magical Reduction (%)</t>
  </si>
  <si>
    <r>
      <t>(100 / √2) * log</t>
    </r>
    <r>
      <rPr>
        <vertAlign val="subscript"/>
        <sz val="10"/>
        <color theme="1"/>
        <rFont val="Arial Unicode MS"/>
      </rPr>
      <t>10</t>
    </r>
    <r>
      <rPr>
        <sz val="10"/>
        <color theme="1"/>
        <rFont val="Arial Unicode MS"/>
      </rPr>
      <t>((ProtectionValue + 10√2) / (10√2))</t>
    </r>
  </si>
  <si>
    <t>For example: if you have 30 protection, your effective "HP" is 135%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</si>
</sst>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1"/>
      <name val="Arial Unicode MS"/>
    </font>
    <font>
      <vertAlign val="subscript"/>
      <sz val="10"/>
      <color theme="1"/>
      <name val="Arial Unicode MS"/>
    </font>
    <font>
      <b/>
      <sz val="18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5A6BD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3" fillId="2" borderId="6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5" fillId="0" borderId="8" xfId="0" applyFont="1" applyBorder="1" applyAlignment="1">
      <alignment wrapText="1"/>
    </xf>
    <xf numFmtId="0" fontId="6" fillId="13" borderId="14" xfId="0" applyFont="1" applyFill="1" applyBorder="1" applyAlignment="1">
      <alignment horizontal="center" wrapText="1"/>
    </xf>
    <xf numFmtId="0" fontId="6" fillId="13" borderId="16" xfId="0" applyFont="1" applyFill="1" applyBorder="1" applyAlignment="1">
      <alignment horizontal="center" wrapText="1"/>
    </xf>
    <xf numFmtId="0" fontId="6" fillId="4" borderId="15" xfId="0" applyFont="1" applyFill="1" applyBorder="1" applyAlignment="1">
      <alignment horizontal="center" wrapText="1"/>
    </xf>
    <xf numFmtId="0" fontId="5" fillId="0" borderId="2" xfId="0" applyFont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3" fillId="5" borderId="7" xfId="0" applyFont="1" applyFill="1" applyBorder="1" applyAlignment="1">
      <alignment horizontal="center" wrapText="1"/>
    </xf>
    <xf numFmtId="0" fontId="5" fillId="0" borderId="9" xfId="0" applyFont="1" applyBorder="1" applyAlignment="1">
      <alignment wrapText="1"/>
    </xf>
    <xf numFmtId="164" fontId="5" fillId="0" borderId="11" xfId="0" applyNumberFormat="1" applyFont="1" applyBorder="1" applyAlignment="1">
      <alignment horizontal="right" wrapText="1"/>
    </xf>
    <xf numFmtId="164" fontId="5" fillId="0" borderId="12" xfId="0" applyNumberFormat="1" applyFont="1" applyBorder="1" applyAlignment="1">
      <alignment horizontal="right" wrapText="1"/>
    </xf>
    <xf numFmtId="164" fontId="5" fillId="0" borderId="13" xfId="0" applyNumberFormat="1" applyFont="1" applyBorder="1" applyAlignment="1">
      <alignment horizontal="right" wrapText="1"/>
    </xf>
    <xf numFmtId="0" fontId="5" fillId="8" borderId="5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wrapText="1"/>
    </xf>
    <xf numFmtId="164" fontId="5" fillId="3" borderId="10" xfId="0" applyNumberFormat="1" applyFont="1" applyFill="1" applyBorder="1" applyAlignment="1">
      <alignment horizontal="right" wrapText="1"/>
    </xf>
    <xf numFmtId="0" fontId="5" fillId="0" borderId="0" xfId="0" applyFont="1" applyAlignment="1">
      <alignment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wrapText="1"/>
    </xf>
    <xf numFmtId="0" fontId="3" fillId="11" borderId="15" xfId="0" applyFont="1" applyFill="1" applyBorder="1" applyAlignment="1">
      <alignment horizontal="center" vertical="center" wrapText="1"/>
    </xf>
    <xf numFmtId="0" fontId="5" fillId="12" borderId="17" xfId="0" applyFont="1" applyFill="1" applyBorder="1" applyAlignment="1">
      <alignment horizontal="right" wrapText="1"/>
    </xf>
    <xf numFmtId="0" fontId="5" fillId="8" borderId="3" xfId="0" applyFont="1" applyFill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12" borderId="18" xfId="0" applyFont="1" applyFill="1" applyBorder="1" applyAlignment="1">
      <alignment horizontal="right" wrapText="1"/>
    </xf>
    <xf numFmtId="0" fontId="5" fillId="0" borderId="0" xfId="0" applyFont="1"/>
    <xf numFmtId="0" fontId="3" fillId="9" borderId="0" xfId="0" applyFont="1" applyFill="1"/>
    <xf numFmtId="0" fontId="5" fillId="10" borderId="0" xfId="0" applyFont="1" applyFill="1" applyAlignment="1">
      <alignment wrapText="1"/>
    </xf>
    <xf numFmtId="0" fontId="5" fillId="10" borderId="0" xfId="0" applyFont="1" applyFill="1" applyAlignment="1">
      <alignment horizontal="right" wrapText="1"/>
    </xf>
    <xf numFmtId="0" fontId="5" fillId="8" borderId="0" xfId="0" applyFont="1" applyFill="1" applyAlignment="1">
      <alignment wrapText="1"/>
    </xf>
    <xf numFmtId="0" fontId="5" fillId="8" borderId="0" xfId="0" applyFont="1" applyFill="1" applyAlignment="1">
      <alignment horizontal="right" wrapText="1"/>
    </xf>
    <xf numFmtId="0" fontId="3" fillId="9" borderId="0" xfId="0" applyFont="1" applyFill="1" applyAlignment="1">
      <alignment horizontal="center"/>
    </xf>
    <xf numFmtId="0" fontId="5" fillId="14" borderId="0" xfId="0" applyFont="1" applyFill="1"/>
    <xf numFmtId="0" fontId="5" fillId="14" borderId="0" xfId="0" applyFont="1" applyFill="1" applyAlignment="1">
      <alignment horizontal="center"/>
    </xf>
    <xf numFmtId="0" fontId="5" fillId="9" borderId="0" xfId="0" applyFont="1" applyFill="1"/>
    <xf numFmtId="0" fontId="5" fillId="9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4" borderId="25" xfId="0" applyFont="1" applyFill="1" applyBorder="1"/>
    <xf numFmtId="164" fontId="5" fillId="0" borderId="0" xfId="0" applyNumberFormat="1" applyFont="1"/>
    <xf numFmtId="0" fontId="5" fillId="0" borderId="25" xfId="0" applyFont="1" applyBorder="1"/>
    <xf numFmtId="0" fontId="5" fillId="0" borderId="26" xfId="0" applyFont="1" applyBorder="1"/>
    <xf numFmtId="164" fontId="5" fillId="0" borderId="26" xfId="0" applyNumberFormat="1" applyFont="1" applyBorder="1"/>
    <xf numFmtId="164" fontId="5" fillId="0" borderId="0" xfId="0" applyNumberFormat="1" applyFont="1" applyAlignment="1">
      <alignment wrapText="1"/>
    </xf>
    <xf numFmtId="1" fontId="5" fillId="0" borderId="0" xfId="0" applyNumberFormat="1" applyFont="1"/>
    <xf numFmtId="0" fontId="8" fillId="0" borderId="0" xfId="0" applyFont="1"/>
    <xf numFmtId="9" fontId="5" fillId="0" borderId="0" xfId="0" applyNumberFormat="1" applyFont="1"/>
    <xf numFmtId="0" fontId="7" fillId="15" borderId="0" xfId="0" applyFont="1" applyFill="1" applyAlignment="1">
      <alignment horizontal="center" vertical="center"/>
    </xf>
    <xf numFmtId="0" fontId="10" fillId="16" borderId="0" xfId="0" applyFon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0" fontId="4" fillId="7" borderId="19" xfId="0" applyFont="1" applyFill="1" applyBorder="1" applyAlignment="1">
      <alignment horizontal="center" vertical="center" wrapText="1"/>
    </xf>
    <xf numFmtId="0" fontId="4" fillId="7" borderId="20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4" fillId="7" borderId="23" xfId="0" applyFont="1" applyFill="1" applyBorder="1" applyAlignment="1">
      <alignment horizontal="center" vertical="center" wrapText="1"/>
    </xf>
    <xf numFmtId="0" fontId="4" fillId="7" borderId="24" xfId="0" applyFont="1" applyFill="1" applyBorder="1" applyAlignment="1">
      <alignment horizontal="center" vertical="center" wrapText="1"/>
    </xf>
    <xf numFmtId="0" fontId="4" fillId="8" borderId="19" xfId="0" applyFont="1" applyFill="1" applyBorder="1" applyAlignment="1">
      <alignment horizontal="center" vertical="center" wrapText="1"/>
    </xf>
    <xf numFmtId="0" fontId="4" fillId="8" borderId="20" xfId="0" applyFont="1" applyFill="1" applyBorder="1" applyAlignment="1">
      <alignment horizontal="center" vertical="center" wrapText="1"/>
    </xf>
    <xf numFmtId="0" fontId="4" fillId="8" borderId="21" xfId="0" applyFont="1" applyFill="1" applyBorder="1" applyAlignment="1">
      <alignment horizontal="center" vertical="center" wrapText="1"/>
    </xf>
    <xf numFmtId="0" fontId="4" fillId="8" borderId="22" xfId="0" applyFont="1" applyFill="1" applyBorder="1" applyAlignment="1">
      <alignment horizontal="center" vertical="center" wrapText="1"/>
    </xf>
    <xf numFmtId="0" fontId="4" fillId="8" borderId="23" xfId="0" applyFont="1" applyFill="1" applyBorder="1" applyAlignment="1">
      <alignment horizontal="center" vertical="center" wrapText="1"/>
    </xf>
    <xf numFmtId="0" fontId="4" fillId="8" borderId="24" xfId="0" applyFont="1" applyFill="1" applyBorder="1" applyAlignment="1">
      <alignment horizontal="center" vertical="center" wrapText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theme="4" tint="-0.49998474074526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</font>
      <fill>
        <patternFill>
          <bgColor theme="4" tint="0.79998168889431442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3" tint="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Damage Reduction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'Protection Logarithm'!$B$6</c:f>
              <c:strCache>
                <c:ptCount val="1"/>
                <c:pt idx="0">
                  <c:v>Physical Reduction (%)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'Protection Logarithm'!$A$7:$A$360</c:f>
              <c:numCache>
                <c:formatCode>General</c:formatCode>
                <c:ptCount val="3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</c:numCache>
            </c:numRef>
          </c:cat>
          <c:val>
            <c:numRef>
              <c:f>'Protection Logarithm'!$B$7:$B$360</c:f>
              <c:numCache>
                <c:formatCode>0.0</c:formatCode>
                <c:ptCount val="354"/>
                <c:pt idx="0">
                  <c:v>0</c:v>
                </c:pt>
                <c:pt idx="1">
                  <c:v>2.0981367081488904</c:v>
                </c:pt>
                <c:pt idx="2">
                  <c:v>4.0620451931641126</c:v>
                </c:pt>
                <c:pt idx="3">
                  <c:v>5.9078721337500308</c:v>
                </c:pt>
                <c:pt idx="4">
                  <c:v>7.6490152751094573</c:v>
                </c:pt>
                <c:pt idx="5">
                  <c:v>9.2967140597114852</c:v>
                </c:pt>
                <c:pt idx="6">
                  <c:v>10.860489684575999</c:v>
                </c:pt>
                <c:pt idx="7">
                  <c:v>12.348478422927373</c:v>
                </c:pt>
                <c:pt idx="8">
                  <c:v>13.767687844562266</c:v>
                </c:pt>
                <c:pt idx="9">
                  <c:v>15.124196393286335</c:v>
                </c:pt>
                <c:pt idx="10">
                  <c:v>16.423310713845204</c:v>
                </c:pt>
                <c:pt idx="11">
                  <c:v>17.669691027079903</c:v>
                </c:pt>
                <c:pt idx="12">
                  <c:v>18.867452037269366</c:v>
                </c:pt>
                <c:pt idx="13">
                  <c:v>20.020244887127006</c:v>
                </c:pt>
                <c:pt idx="14">
                  <c:v>21.131324277792483</c:v>
                </c:pt>
                <c:pt idx="15">
                  <c:v>22.203603863962506</c:v>
                </c:pt>
                <c:pt idx="16">
                  <c:v>23.239702299206201</c:v>
                </c:pt>
                <c:pt idx="17">
                  <c:v>24.241981763508797</c:v>
                </c:pt>
                <c:pt idx="18">
                  <c:v>25.212580399489809</c:v>
                </c:pt>
                <c:pt idx="19">
                  <c:v>26.15343977762954</c:v>
                </c:pt>
                <c:pt idx="20">
                  <c:v>27.066328277573106</c:v>
                </c:pt>
                <c:pt idx="21">
                  <c:v>27.952861093223031</c:v>
                </c:pt>
                <c:pt idx="22">
                  <c:v>28.81451743025832</c:v>
                </c:pt>
                <c:pt idx="23">
                  <c:v>29.652655356026866</c:v>
                </c:pt>
                <c:pt idx="24">
                  <c:v>30.468524676181286</c:v>
                </c:pt>
                <c:pt idx="25">
                  <c:v>31.263278144577495</c:v>
                </c:pt>
                <c:pt idx="26">
                  <c:v>32.037981258805303</c:v>
                </c:pt>
                <c:pt idx="27">
                  <c:v>32.793620850234142</c:v>
                </c:pt>
                <c:pt idx="28">
                  <c:v>33.531112642328885</c:v>
                </c:pt>
                <c:pt idx="29">
                  <c:v>34.251307922456746</c:v>
                </c:pt>
                <c:pt idx="30">
                  <c:v>34.954999449104129</c:v>
                </c:pt>
                <c:pt idx="31">
                  <c:v>35.64292669729835</c:v>
                </c:pt>
                <c:pt idx="32">
                  <c:v>36.315780529258305</c:v>
                </c:pt>
                <c:pt idx="33">
                  <c:v>36.974207364233315</c:v>
                </c:pt>
                <c:pt idx="34">
                  <c:v>37.618812910619106</c:v>
                </c:pt>
                <c:pt idx="35">
                  <c:v>38.250165514358365</c:v>
                </c:pt>
                <c:pt idx="36">
                  <c:v>38.86879917001518</c:v>
                </c:pt>
                <c:pt idx="37">
                  <c:v>39.47521623449903</c:v>
                </c:pt>
                <c:pt idx="38">
                  <c:v>40.069889877993731</c:v>
                </c:pt>
                <c:pt idx="39">
                  <c:v>40.653266302050682</c:v>
                </c:pt>
                <c:pt idx="40">
                  <c:v>41.22576675089519</c:v>
                </c:pt>
                <c:pt idx="41">
                  <c:v>41.787789338657049</c:v>
                </c:pt>
                <c:pt idx="42">
                  <c:v>42.339710712378242</c:v>
                </c:pt>
                <c:pt idx="43">
                  <c:v>42.881887568197449</c:v>
                </c:pt>
                <c:pt idx="44">
                  <c:v>43.414658035996538</c:v>
                </c:pt>
                <c:pt idx="45">
                  <c:v>43.938342945970263</c:v>
                </c:pt>
                <c:pt idx="46">
                  <c:v>44.453246988999588</c:v>
                </c:pt>
                <c:pt idx="47">
                  <c:v>44.959659781337471</c:v>
                </c:pt>
                <c:pt idx="48">
                  <c:v>45.457856842922681</c:v>
                </c:pt>
                <c:pt idx="49">
                  <c:v>45.948100497595675</c:v>
                </c:pt>
                <c:pt idx="50">
                  <c:v>46.43064070258049</c:v>
                </c:pt>
                <c:pt idx="51">
                  <c:v>46.905715813799262</c:v>
                </c:pt>
                <c:pt idx="52">
                  <c:v>47.373553292885056</c:v>
                </c:pt>
                <c:pt idx="53">
                  <c:v>47.834370361143186</c:v>
                </c:pt>
                <c:pt idx="54">
                  <c:v>48.288374605167107</c:v>
                </c:pt>
                <c:pt idx="55">
                  <c:v>48.735764538335523</c:v>
                </c:pt>
                <c:pt idx="56">
                  <c:v>49.176730121992179</c:v>
                </c:pt>
                <c:pt idx="57">
                  <c:v>49.611453249732975</c:v>
                </c:pt>
                <c:pt idx="58">
                  <c:v>50.040108197890731</c:v>
                </c:pt>
                <c:pt idx="59">
                  <c:v>50.462862045009729</c:v>
                </c:pt>
                <c:pt idx="60">
                  <c:v>50.879875062836945</c:v>
                </c:pt>
                <c:pt idx="61">
                  <c:v>51.291301081119769</c:v>
                </c:pt>
                <c:pt idx="62">
                  <c:v>51.697287828288204</c:v>
                </c:pt>
                <c:pt idx="63">
                  <c:v>52.097977249909526</c:v>
                </c:pt>
                <c:pt idx="64">
                  <c:v>52.49350580663338</c:v>
                </c:pt>
                <c:pt idx="65">
                  <c:v>52.884004753192201</c:v>
                </c:pt>
                <c:pt idx="66">
                  <c:v>53.269600399884297</c:v>
                </c:pt>
                <c:pt idx="67">
                  <c:v>53.650414357843104</c:v>
                </c:pt>
                <c:pt idx="68">
                  <c:v>54.02656376928428</c:v>
                </c:pt>
                <c:pt idx="69">
                  <c:v>54.398161523821386</c:v>
                </c:pt>
                <c:pt idx="70">
                  <c:v>54.765316461849579</c:v>
                </c:pt>
                <c:pt idx="71">
                  <c:v>55.128133565914091</c:v>
                </c:pt>
                <c:pt idx="72">
                  <c:v>55.486714140905413</c:v>
                </c:pt>
                <c:pt idx="73">
                  <c:v>55.84115598385489</c:v>
                </c:pt>
                <c:pt idx="74">
                  <c:v>56.191553544042854</c:v>
                </c:pt>
                <c:pt idx="75">
                  <c:v>56.537998074074928</c:v>
                </c:pt>
                <c:pt idx="76">
                  <c:v>56.880577772531232</c:v>
                </c:pt>
                <c:pt idx="77">
                  <c:v>57.219377918746282</c:v>
                </c:pt>
                <c:pt idx="78">
                  <c:v>57.554481000234787</c:v>
                </c:pt>
                <c:pt idx="79">
                  <c:v>57.885966833239742</c:v>
                </c:pt>
                <c:pt idx="80">
                  <c:v>58.213912676843535</c:v>
                </c:pt>
                <c:pt idx="81">
                  <c:v>58.538393341050124</c:v>
                </c:pt>
                <c:pt idx="82">
                  <c:v>58.859481289216575</c:v>
                </c:pt>
                <c:pt idx="83">
                  <c:v>59.17724673518471</c:v>
                </c:pt>
                <c:pt idx="84">
                  <c:v>59.49175773543876</c:v>
                </c:pt>
                <c:pt idx="85">
                  <c:v>59.803080276591331</c:v>
                </c:pt>
                <c:pt idx="86">
                  <c:v>60.111278358479197</c:v>
                </c:pt>
                <c:pt idx="87">
                  <c:v>60.416414073130603</c:v>
                </c:pt>
                <c:pt idx="88">
                  <c:v>60.718547679847781</c:v>
                </c:pt>
                <c:pt idx="89">
                  <c:v>61.017737676631803</c:v>
                </c:pt>
                <c:pt idx="90">
                  <c:v>61.314040868161534</c:v>
                </c:pt>
                <c:pt idx="91">
                  <c:v>61.607512430524274</c:v>
                </c:pt>
                <c:pt idx="92">
                  <c:v>61.898205972882543</c:v>
                </c:pt>
                <c:pt idx="93">
                  <c:v>62.186173596249525</c:v>
                </c:pt>
                <c:pt idx="94">
                  <c:v>62.471465949534149</c:v>
                </c:pt>
                <c:pt idx="95">
                  <c:v>62.754132283006818</c:v>
                </c:pt>
                <c:pt idx="96">
                  <c:v>63.034220499326743</c:v>
                </c:pt>
                <c:pt idx="97">
                  <c:v>63.31177720226335</c:v>
                </c:pt>
                <c:pt idx="98">
                  <c:v>63.58684774323541</c:v>
                </c:pt>
                <c:pt idx="99">
                  <c:v>63.859476265784387</c:v>
                </c:pt>
                <c:pt idx="100">
                  <c:v>64.129705748090956</c:v>
                </c:pt>
                <c:pt idx="101">
                  <c:v>64.397578043637139</c:v>
                </c:pt>
                <c:pt idx="102">
                  <c:v>64.663133920110283</c:v>
                </c:pt>
                <c:pt idx="103">
                  <c:v>64.926413096639237</c:v>
                </c:pt>
                <c:pt idx="104">
                  <c:v>65.187454279448005</c:v>
                </c:pt>
                <c:pt idx="105">
                  <c:v>65.446295196006645</c:v>
                </c:pt>
                <c:pt idx="106">
                  <c:v>65.702972627754932</c:v>
                </c:pt>
                <c:pt idx="107">
                  <c:v>65.957522441469848</c:v>
                </c:pt>
                <c:pt idx="108">
                  <c:v>66.209979619343528</c:v>
                </c:pt>
                <c:pt idx="109">
                  <c:v>66.460378287835056</c:v>
                </c:pt>
                <c:pt idx="110">
                  <c:v>66.708751745355386</c:v>
                </c:pt>
                <c:pt idx="111">
                  <c:v>66.955132488841727</c:v>
                </c:pt>
                <c:pt idx="112">
                  <c:v>67.199552239274254</c:v>
                </c:pt>
                <c:pt idx="113">
                  <c:v>67.442041966185442</c:v>
                </c:pt>
                <c:pt idx="114">
                  <c:v>67.682631911209285</c:v>
                </c:pt>
                <c:pt idx="115">
                  <c:v>67.921351610715064</c:v>
                </c:pt>
                <c:pt idx="116">
                  <c:v>68.158229917568349</c:v>
                </c:pt>
                <c:pt idx="117">
                  <c:v>68.393295022059007</c:v>
                </c:pt>
                <c:pt idx="118">
                  <c:v>68.626574472034264</c:v>
                </c:pt>
                <c:pt idx="119">
                  <c:v>68.858095192272941</c:v>
                </c:pt>
                <c:pt idx="120">
                  <c:v>69.087883503134776</c:v>
                </c:pt>
                <c:pt idx="121">
                  <c:v>69.315965138517086</c:v>
                </c:pt>
                <c:pt idx="122">
                  <c:v>69.542365263149648</c:v>
                </c:pt>
                <c:pt idx="123">
                  <c:v>69.767108489256543</c:v>
                </c:pt>
                <c:pt idx="124">
                  <c:v>69.990218892612873</c:v>
                </c:pt>
                <c:pt idx="125">
                  <c:v>70.211720028022327</c:v>
                </c:pt>
                <c:pt idx="126">
                  <c:v>70.431634944240486</c:v>
                </c:pt>
                <c:pt idx="127">
                  <c:v>70.649986198367728</c:v>
                </c:pt>
                <c:pt idx="128">
                  <c:v>70.866795869733892</c:v>
                </c:pt>
                <c:pt idx="129">
                  <c:v>71.082085573296268</c:v>
                </c:pt>
                <c:pt idx="130">
                  <c:v>71.295876472571351</c:v>
                </c:pt>
                <c:pt idx="131">
                  <c:v>71.508189292119297</c:v>
                </c:pt>
                <c:pt idx="132">
                  <c:v>71.719044329600038</c:v>
                </c:pt>
                <c:pt idx="133">
                  <c:v>71.928461467418117</c:v>
                </c:pt>
                <c:pt idx="134">
                  <c:v>72.13646018397327</c:v>
                </c:pt>
                <c:pt idx="135">
                  <c:v>72.343059564532453</c:v>
                </c:pt>
                <c:pt idx="136">
                  <c:v>72.548278311738756</c:v>
                </c:pt>
                <c:pt idx="137">
                  <c:v>72.75213475577128</c:v>
                </c:pt>
                <c:pt idx="138">
                  <c:v>72.954646864170215</c:v>
                </c:pt>
                <c:pt idx="139">
                  <c:v>73.155832251340001</c:v>
                </c:pt>
                <c:pt idx="140">
                  <c:v>73.355708187743147</c:v>
                </c:pt>
                <c:pt idx="141">
                  <c:v>73.554291608796888</c:v>
                </c:pt>
                <c:pt idx="142">
                  <c:v>73.751599123484013</c:v>
                </c:pt>
                <c:pt idx="143">
                  <c:v>73.947647022688784</c:v>
                </c:pt>
                <c:pt idx="144">
                  <c:v>74.142451287268457</c:v>
                </c:pt>
                <c:pt idx="145">
                  <c:v>74.336027595870519</c:v>
                </c:pt>
                <c:pt idx="146">
                  <c:v>74.528391332504867</c:v>
                </c:pt>
                <c:pt idx="147">
                  <c:v>74.719557593880538</c:v>
                </c:pt>
                <c:pt idx="148">
                  <c:v>74.909541196515292</c:v>
                </c:pt>
                <c:pt idx="149">
                  <c:v>75.09835668362679</c:v>
                </c:pt>
                <c:pt idx="150">
                  <c:v>75.28601833181304</c:v>
                </c:pt>
                <c:pt idx="151">
                  <c:v>75.472540157530148</c:v>
                </c:pt>
                <c:pt idx="152">
                  <c:v>75.657935923374382</c:v>
                </c:pt>
                <c:pt idx="153">
                  <c:v>75.842219144175758</c:v>
                </c:pt>
                <c:pt idx="154">
                  <c:v>76.025403092910082</c:v>
                </c:pt>
                <c:pt idx="155">
                  <c:v>76.207500806435306</c:v>
                </c:pt>
                <c:pt idx="156">
                  <c:v>76.38852509105925</c:v>
                </c:pt>
                <c:pt idx="157">
                  <c:v>76.568488527943842</c:v>
                </c:pt>
                <c:pt idx="158">
                  <c:v>76.74740347835214</c:v>
                </c:pt>
                <c:pt idx="159">
                  <c:v>76.925282088743288</c:v>
                </c:pt>
                <c:pt idx="160">
                  <c:v>77.102136295720769</c:v>
                </c:pt>
                <c:pt idx="161">
                  <c:v>77.277977830838964</c:v>
                </c:pt>
                <c:pt idx="162">
                  <c:v>77.452818225273035</c:v>
                </c:pt>
                <c:pt idx="163">
                  <c:v>77.626668814356393</c:v>
                </c:pt>
                <c:pt idx="164">
                  <c:v>77.799540741990597</c:v>
                </c:pt>
                <c:pt idx="165">
                  <c:v>77.971444964931806</c:v>
                </c:pt>
                <c:pt idx="166">
                  <c:v>78.142392256957876</c:v>
                </c:pt>
                <c:pt idx="167">
                  <c:v>78.312393212920142</c:v>
                </c:pt>
                <c:pt idx="168">
                  <c:v>78.481458252683751</c:v>
                </c:pt>
                <c:pt idx="169">
                  <c:v>78.649597624959853</c:v>
                </c:pt>
                <c:pt idx="170">
                  <c:v>78.816821411033857</c:v>
                </c:pt>
                <c:pt idx="171">
                  <c:v>78.983139528392343</c:v>
                </c:pt>
                <c:pt idx="172">
                  <c:v>79.148561734252525</c:v>
                </c:pt>
                <c:pt idx="173">
                  <c:v>79.313097628997099</c:v>
                </c:pt>
                <c:pt idx="174">
                  <c:v>79.476756659517491</c:v>
                </c:pt>
                <c:pt idx="175">
                  <c:v>79.639548122468611</c:v>
                </c:pt>
                <c:pt idx="176">
                  <c:v>79.8014811674377</c:v>
                </c:pt>
                <c:pt idx="177">
                  <c:v>79.962564800030094</c:v>
                </c:pt>
                <c:pt idx="178">
                  <c:v>80.122807884874518</c:v>
                </c:pt>
                <c:pt idx="179">
                  <c:v>80.282219148550297</c:v>
                </c:pt>
                <c:pt idx="180">
                  <c:v>80.440807182439087</c:v>
                </c:pt>
                <c:pt idx="181">
                  <c:v>80.598580445503188</c:v>
                </c:pt>
                <c:pt idx="182">
                  <c:v>80.755547266993105</c:v>
                </c:pt>
                <c:pt idx="183">
                  <c:v>80.911715849085937</c:v>
                </c:pt>
                <c:pt idx="184">
                  <c:v>81.067094269457357</c:v>
                </c:pt>
                <c:pt idx="185">
                  <c:v>81.221690483788535</c:v>
                </c:pt>
                <c:pt idx="186">
                  <c:v>81.375512328210576</c:v>
                </c:pt>
                <c:pt idx="187">
                  <c:v>81.528567521687805</c:v>
                </c:pt>
                <c:pt idx="188">
                  <c:v>81.680863668342013</c:v>
                </c:pt>
                <c:pt idx="189">
                  <c:v>81.832408259719486</c:v>
                </c:pt>
                <c:pt idx="190">
                  <c:v>81.983208677002182</c:v>
                </c:pt>
                <c:pt idx="191">
                  <c:v>82.133272193165041</c:v>
                </c:pt>
                <c:pt idx="192">
                  <c:v>82.282605975080656</c:v>
                </c:pt>
                <c:pt idx="193">
                  <c:v>82.431217085573294</c:v>
                </c:pt>
                <c:pt idx="194">
                  <c:v>82.579112485423124</c:v>
                </c:pt>
                <c:pt idx="195">
                  <c:v>82.726299035322725</c:v>
                </c:pt>
                <c:pt idx="196">
                  <c:v>82.872783497786685</c:v>
                </c:pt>
                <c:pt idx="197">
                  <c:v>83.018572539016034</c:v>
                </c:pt>
                <c:pt idx="198">
                  <c:v>83.163672730718559</c:v>
                </c:pt>
                <c:pt idx="199">
                  <c:v>83.308090551886309</c:v>
                </c:pt>
                <c:pt idx="200">
                  <c:v>83.451832390531536</c:v>
                </c:pt>
                <c:pt idx="201">
                  <c:v>83.594904545382164</c:v>
                </c:pt>
                <c:pt idx="202">
                  <c:v>83.737313227537996</c:v>
                </c:pt>
                <c:pt idx="203">
                  <c:v>83.879064562088644</c:v>
                </c:pt>
                <c:pt idx="204">
                  <c:v>84.020164589694247</c:v>
                </c:pt>
                <c:pt idx="205">
                  <c:v>84.160619268130219</c:v>
                </c:pt>
                <c:pt idx="206">
                  <c:v>84.300434473796599</c:v>
                </c:pt>
                <c:pt idx="207">
                  <c:v>84.439616003193393</c:v>
                </c:pt>
                <c:pt idx="208">
                  <c:v>84.578169574362491</c:v>
                </c:pt>
                <c:pt idx="209">
                  <c:v>84.7161008282973</c:v>
                </c:pt>
                <c:pt idx="210">
                  <c:v>84.8534153303208</c:v>
                </c:pt>
                <c:pt idx="211">
                  <c:v>84.990118571432959</c:v>
                </c:pt>
                <c:pt idx="212">
                  <c:v>85.126215969628305</c:v>
                </c:pt>
                <c:pt idx="213">
                  <c:v>85.261712871184358</c:v>
                </c:pt>
                <c:pt idx="214">
                  <c:v>85.396614551921857</c:v>
                </c:pt>
                <c:pt idx="215">
                  <c:v>85.530926218437344</c:v>
                </c:pt>
                <c:pt idx="216">
                  <c:v>85.664653009308978</c:v>
                </c:pt>
                <c:pt idx="217">
                  <c:v>85.797799996276183</c:v>
                </c:pt>
                <c:pt idx="218">
                  <c:v>85.930372185393779</c:v>
                </c:pt>
                <c:pt idx="219">
                  <c:v>86.062374518161448</c:v>
                </c:pt>
                <c:pt idx="220">
                  <c:v>86.193811872628856</c:v>
                </c:pt>
                <c:pt idx="221">
                  <c:v>86.324689064477312</c:v>
                </c:pt>
                <c:pt idx="222">
                  <c:v>86.455010848078558</c:v>
                </c:pt>
                <c:pt idx="223">
                  <c:v>86.584781917530975</c:v>
                </c:pt>
                <c:pt idx="224">
                  <c:v>86.714006907674261</c:v>
                </c:pt>
                <c:pt idx="225">
                  <c:v>86.842690395082556</c:v>
                </c:pt>
                <c:pt idx="226">
                  <c:v>86.970836899037096</c:v>
                </c:pt>
                <c:pt idx="227">
                  <c:v>87.098450882478488</c:v>
                </c:pt>
                <c:pt idx="228">
                  <c:v>87.225536752939448</c:v>
                </c:pt>
                <c:pt idx="229">
                  <c:v>87.352098863458011</c:v>
                </c:pt>
                <c:pt idx="230">
                  <c:v>87.47814151347248</c:v>
                </c:pt>
                <c:pt idx="231">
                  <c:v>87.603668949697592</c:v>
                </c:pt>
                <c:pt idx="232">
                  <c:v>87.728685366983115</c:v>
                </c:pt>
                <c:pt idx="233">
                  <c:v>87.853194909155121</c:v>
                </c:pt>
                <c:pt idx="234">
                  <c:v>87.977201669839928</c:v>
                </c:pt>
                <c:pt idx="235">
                  <c:v>88.100709693271881</c:v>
                </c:pt>
                <c:pt idx="236">
                  <c:v>88.223722975084627</c:v>
                </c:pt>
                <c:pt idx="237">
                  <c:v>88.346245463086845</c:v>
                </c:pt>
                <c:pt idx="238">
                  <c:v>88.46828105802237</c:v>
                </c:pt>
                <c:pt idx="239">
                  <c:v>88.589833614315395</c:v>
                </c:pt>
                <c:pt idx="240">
                  <c:v>88.710906940800996</c:v>
                </c:pt>
                <c:pt idx="241">
                  <c:v>88.831504801441142</c:v>
                </c:pt>
                <c:pt idx="242">
                  <c:v>88.951630916026971</c:v>
                </c:pt>
                <c:pt idx="243">
                  <c:v>89.071288960867122</c:v>
                </c:pt>
                <c:pt idx="244">
                  <c:v>89.190482569462873</c:v>
                </c:pt>
                <c:pt idx="245">
                  <c:v>89.309215333170201</c:v>
                </c:pt>
                <c:pt idx="246">
                  <c:v>89.427490801849004</c:v>
                </c:pt>
                <c:pt idx="247">
                  <c:v>89.545312484499973</c:v>
                </c:pt>
                <c:pt idx="248">
                  <c:v>89.662683849889248</c:v>
                </c:pt>
                <c:pt idx="249">
                  <c:v>89.779608327161228</c:v>
                </c:pt>
                <c:pt idx="250">
                  <c:v>89.896089306439606</c:v>
                </c:pt>
                <c:pt idx="251">
                  <c:v>90.012130139417323</c:v>
                </c:pt>
                <c:pt idx="252">
                  <c:v>90.127734139935086</c:v>
                </c:pt>
                <c:pt idx="253">
                  <c:v>90.242904584549322</c:v>
                </c:pt>
                <c:pt idx="254">
                  <c:v>90.3576447130894</c:v>
                </c:pt>
                <c:pt idx="255">
                  <c:v>90.471957729204419</c:v>
                </c:pt>
                <c:pt idx="256">
                  <c:v>90.585846800900015</c:v>
                </c:pt>
                <c:pt idx="257">
                  <c:v>90.699315061065036</c:v>
                </c:pt>
                <c:pt idx="258">
                  <c:v>90.812365607988866</c:v>
                </c:pt>
                <c:pt idx="259">
                  <c:v>90.925001505868764</c:v>
                </c:pt>
                <c:pt idx="260">
                  <c:v>91.037225785308422</c:v>
                </c:pt>
                <c:pt idx="261">
                  <c:v>91.149041443807221</c:v>
                </c:pt>
                <c:pt idx="262">
                  <c:v>91.260451446240509</c:v>
                </c:pt>
                <c:pt idx="263">
                  <c:v>91.371458725331422</c:v>
                </c:pt>
                <c:pt idx="264">
                  <c:v>91.482066182114082</c:v>
                </c:pt>
                <c:pt idx="265">
                  <c:v>91.592276686388473</c:v>
                </c:pt>
                <c:pt idx="266">
                  <c:v>91.702093077167262</c:v>
                </c:pt>
                <c:pt idx="267">
                  <c:v>91.811518163114599</c:v>
                </c:pt>
                <c:pt idx="268">
                  <c:v>91.920554722977116</c:v>
                </c:pt>
                <c:pt idx="269">
                  <c:v>92.029205506007344</c:v>
                </c:pt>
                <c:pt idx="270">
                  <c:v>92.137473232379676</c:v>
                </c:pt>
                <c:pt idx="271">
                  <c:v>92.245360593598974</c:v>
                </c:pt>
                <c:pt idx="272">
                  <c:v>92.352870252902008</c:v>
                </c:pt>
                <c:pt idx="273">
                  <c:v>92.460004845652008</c:v>
                </c:pt>
                <c:pt idx="274">
                  <c:v>92.566766979726196</c:v>
                </c:pt>
                <c:pt idx="275">
                  <c:v>92.673159235896776</c:v>
                </c:pt>
                <c:pt idx="276">
                  <c:v>92.779184168205205</c:v>
                </c:pt>
                <c:pt idx="277">
                  <c:v>92.884844304330031</c:v>
                </c:pt>
                <c:pt idx="278">
                  <c:v>92.990142145948653</c:v>
                </c:pt>
                <c:pt idx="279">
                  <c:v>93.095080169092483</c:v>
                </c:pt>
                <c:pt idx="280">
                  <c:v>93.19966082449649</c:v>
                </c:pt>
                <c:pt idx="281">
                  <c:v>93.303886537942518</c:v>
                </c:pt>
                <c:pt idx="282">
                  <c:v>93.40775971059692</c:v>
                </c:pt>
                <c:pt idx="283">
                  <c:v>93.511282719342532</c:v>
                </c:pt>
                <c:pt idx="284">
                  <c:v>93.614457917104943</c:v>
                </c:pt>
                <c:pt idx="285">
                  <c:v>93.717287633173427</c:v>
                </c:pt>
                <c:pt idx="286">
                  <c:v>93.819774173516464</c:v>
                </c:pt>
                <c:pt idx="287">
                  <c:v>93.921919821092004</c:v>
                </c:pt>
                <c:pt idx="288">
                  <c:v>94.023726836152605</c:v>
                </c:pt>
                <c:pt idx="289">
                  <c:v>94.125197456545592</c:v>
                </c:pt>
                <c:pt idx="290">
                  <c:v>94.226333898008136</c:v>
                </c:pt>
                <c:pt idx="291">
                  <c:v>94.32713835445756</c:v>
                </c:pt>
                <c:pt idx="292">
                  <c:v>94.427612998276985</c:v>
                </c:pt>
                <c:pt idx="293">
                  <c:v>94.527759980596144</c:v>
                </c:pt>
                <c:pt idx="294">
                  <c:v>94.627581431567776</c:v>
                </c:pt>
                <c:pt idx="295">
                  <c:v>94.727079460639473</c:v>
                </c:pt>
                <c:pt idx="296">
                  <c:v>94.826256156821159</c:v>
                </c:pt>
                <c:pt idx="297">
                  <c:v>94.925113588948236</c:v>
                </c:pt>
                <c:pt idx="298">
                  <c:v>95.023653805940555</c:v>
                </c:pt>
                <c:pt idx="299">
                  <c:v>95.121878837057224</c:v>
                </c:pt>
                <c:pt idx="300">
                  <c:v>95.219790692147313</c:v>
                </c:pt>
                <c:pt idx="301">
                  <c:v>95.31739136189664</c:v>
                </c:pt>
                <c:pt idx="302">
                  <c:v>95.414682818070645</c:v>
                </c:pt>
                <c:pt idx="303">
                  <c:v>95.511667013753325</c:v>
                </c:pt>
                <c:pt idx="304">
                  <c:v>95.608345883582615</c:v>
                </c:pt>
                <c:pt idx="305">
                  <c:v>95.704721343981788</c:v>
                </c:pt>
                <c:pt idx="306">
                  <c:v>95.800795293387523</c:v>
                </c:pt>
                <c:pt idx="307">
                  <c:v>95.896569612474224</c:v>
                </c:pt>
                <c:pt idx="308">
                  <c:v>95.992046164374912</c:v>
                </c:pt>
                <c:pt idx="309">
                  <c:v>96.087226794898768</c:v>
                </c:pt>
                <c:pt idx="310">
                  <c:v>96.182113332745132</c:v>
                </c:pt>
                <c:pt idx="311">
                  <c:v>96.276707589714462</c:v>
                </c:pt>
                <c:pt idx="312">
                  <c:v>96.37101136091573</c:v>
                </c:pt>
                <c:pt idx="313">
                  <c:v>96.465026424971015</c:v>
                </c:pt>
                <c:pt idx="314">
                  <c:v>96.55875454421664</c:v>
                </c:pt>
                <c:pt idx="315">
                  <c:v>96.652197464901448</c:v>
                </c:pt>
                <c:pt idx="316">
                  <c:v>96.745356917382026</c:v>
                </c:pt>
                <c:pt idx="317">
                  <c:v>96.838234616314949</c:v>
                </c:pt>
                <c:pt idx="318">
                  <c:v>96.930832260846117</c:v>
                </c:pt>
                <c:pt idx="319">
                  <c:v>97.023151534797307</c:v>
                </c:pt>
                <c:pt idx="320">
                  <c:v>97.115194106849899</c:v>
                </c:pt>
                <c:pt idx="321">
                  <c:v>97.206961630725829</c:v>
                </c:pt>
                <c:pt idx="322">
                  <c:v>97.298455745365814</c:v>
                </c:pt>
                <c:pt idx="323">
                  <c:v>97.38967807510511</c:v>
                </c:pt>
                <c:pt idx="324">
                  <c:v>97.480630229846469</c:v>
                </c:pt>
                <c:pt idx="325">
                  <c:v>97.571313805230574</c:v>
                </c:pt>
                <c:pt idx="326">
                  <c:v>97.661730382804095</c:v>
                </c:pt>
                <c:pt idx="327">
                  <c:v>97.751881530185102</c:v>
                </c:pt>
                <c:pt idx="328">
                  <c:v>97.841768801226237</c:v>
                </c:pt>
                <c:pt idx="329">
                  <c:v>97.931393736175309</c:v>
                </c:pt>
                <c:pt idx="330">
                  <c:v>98.020757861833744</c:v>
                </c:pt>
                <c:pt idx="331">
                  <c:v>98.109862691712593</c:v>
                </c:pt>
                <c:pt idx="332">
                  <c:v>98.198709726186365</c:v>
                </c:pt>
                <c:pt idx="333">
                  <c:v>98.287300452644587</c:v>
                </c:pt>
                <c:pt idx="334">
                  <c:v>98.37563634564124</c:v>
                </c:pt>
                <c:pt idx="335">
                  <c:v>98.463718867042019</c:v>
                </c:pt>
                <c:pt idx="336">
                  <c:v>98.551549466169462</c:v>
                </c:pt>
                <c:pt idx="337">
                  <c:v>98.639129579946072</c:v>
                </c:pt>
                <c:pt idx="338">
                  <c:v>98.726460633035344</c:v>
                </c:pt>
                <c:pt idx="339">
                  <c:v>98.813544037980876</c:v>
                </c:pt>
                <c:pt idx="340">
                  <c:v>98.900381195343343</c:v>
                </c:pt>
                <c:pt idx="341">
                  <c:v>98.986973493835762</c:v>
                </c:pt>
                <c:pt idx="342">
                  <c:v>99.073322310456717</c:v>
                </c:pt>
                <c:pt idx="343">
                  <c:v>99.159429010621693</c:v>
                </c:pt>
                <c:pt idx="344">
                  <c:v>99.24529494829271</c:v>
                </c:pt>
                <c:pt idx="345">
                  <c:v>99.330921466105991</c:v>
                </c:pt>
                <c:pt idx="346">
                  <c:v>99.41630989549796</c:v>
                </c:pt>
                <c:pt idx="347">
                  <c:v>99.501461556829497</c:v>
                </c:pt>
                <c:pt idx="348">
                  <c:v>99.586377759508395</c:v>
                </c:pt>
                <c:pt idx="349">
                  <c:v>99.67105980211015</c:v>
                </c:pt>
                <c:pt idx="350">
                  <c:v>99.755508972497225</c:v>
                </c:pt>
                <c:pt idx="351">
                  <c:v>99.839726547936451</c:v>
                </c:pt>
                <c:pt idx="352">
                  <c:v>99.923713795214951</c:v>
                </c:pt>
                <c:pt idx="353">
                  <c:v>100.00747197075459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6F-4507-9CB9-0F28CE3D7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5782224"/>
        <c:axId val="338703167"/>
      </c:lineChart>
      <c:catAx>
        <c:axId val="121578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Protection</a:t>
                </a:r>
              </a:p>
            </c:rich>
          </c:tx>
          <c:layout>
            <c:manualLayout>
              <c:xMode val="edge"/>
              <c:yMode val="edge"/>
              <c:x val="0.45899190726159228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703167"/>
        <c:crosses val="autoZero"/>
        <c:auto val="1"/>
        <c:lblAlgn val="ctr"/>
        <c:lblOffset val="100"/>
        <c:noMultiLvlLbl val="0"/>
      </c:catAx>
      <c:valAx>
        <c:axId val="338703167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Reduction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78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Effective HP Increase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'Protection Logarithm'!$C$6</c:f>
              <c:strCache>
                <c:ptCount val="1"/>
                <c:pt idx="0">
                  <c:v>HP Increase (%)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'Protection Logarithm'!$A$7:$A$360</c:f>
              <c:numCache>
                <c:formatCode>General</c:formatCode>
                <c:ptCount val="3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</c:numCache>
            </c:numRef>
          </c:cat>
          <c:val>
            <c:numRef>
              <c:f>'Protection Logarithm'!$C$7:$C$360</c:f>
              <c:numCache>
                <c:formatCode>0.0</c:formatCode>
                <c:ptCount val="354"/>
                <c:pt idx="0">
                  <c:v>0</c:v>
                </c:pt>
                <c:pt idx="1">
                  <c:v>2.1431019161445617</c:v>
                </c:pt>
                <c:pt idx="2">
                  <c:v>4.2340335494359307</c:v>
                </c:pt>
                <c:pt idx="3">
                  <c:v>6.2788165893622363</c:v>
                </c:pt>
                <c:pt idx="4">
                  <c:v>8.2825486895408122</c:v>
                </c:pt>
                <c:pt idx="5">
                  <c:v>10.249589045574012</c:v>
                </c:pt>
                <c:pt idx="6">
                  <c:v>12.183699064697223</c:v>
                </c:pt>
                <c:pt idx="7">
                  <c:v>14.088150668404845</c:v>
                </c:pt>
                <c:pt idx="8">
                  <c:v>15.96581084332445</c:v>
                </c:pt>
                <c:pt idx="9">
                  <c:v>17.819208479447038</c:v>
                </c:pt>
                <c:pt idx="10">
                  <c:v>19.650587806384749</c:v>
                </c:pt>
                <c:pt idx="11">
                  <c:v>21.461951555279331</c:v>
                </c:pt>
                <c:pt idx="12">
                  <c:v>23.255096149496492</c:v>
                </c:pt>
                <c:pt idx="13">
                  <c:v>25.031640643151565</c:v>
                </c:pt>
                <c:pt idx="14">
                  <c:v>26.793050706495396</c:v>
                </c:pt>
                <c:pt idx="15">
                  <c:v>28.540658650995237</c:v>
                </c:pt>
                <c:pt idx="16">
                  <c:v>30.275680260898564</c:v>
                </c:pt>
                <c:pt idx="17">
                  <c:v>31.999229029240752</c:v>
                </c:pt>
                <c:pt idx="18">
                  <c:v>33.712328268801258</c:v>
                </c:pt>
                <c:pt idx="19">
                  <c:v>35.415921471325127</c:v>
                </c:pt>
                <c:pt idx="20">
                  <c:v>37.110881213526355</c:v>
                </c:pt>
                <c:pt idx="21">
                  <c:v>38.798016850317566</c:v>
                </c:pt>
                <c:pt idx="22">
                  <c:v>40.478081190259864</c:v>
                </c:pt>
                <c:pt idx="23">
                  <c:v>42.151776312380399</c:v>
                </c:pt>
                <c:pt idx="24">
                  <c:v>43.819758655033148</c:v>
                </c:pt>
                <c:pt idx="25">
                  <c:v>45.482643484708454</c:v>
                </c:pt>
                <c:pt idx="26">
                  <c:v>47.1410088343737</c:v>
                </c:pt>
                <c:pt idx="27">
                  <c:v>48.795398986092216</c:v>
                </c:pt>
                <c:pt idx="28">
                  <c:v>50.446327560587768</c:v>
                </c:pt>
                <c:pt idx="29">
                  <c:v>52.094280266535407</c:v>
                </c:pt>
                <c:pt idx="30">
                  <c:v>53.739717354222826</c:v>
                </c:pt>
                <c:pt idx="31">
                  <c:v>55.383075811500724</c:v>
                </c:pt>
                <c:pt idx="32">
                  <c:v>57.024771334353538</c:v>
                </c:pt>
                <c:pt idx="33">
                  <c:v>58.66520009976157</c:v>
                </c:pt>
                <c:pt idx="34">
                  <c:v>60.304740364620166</c:v>
                </c:pt>
                <c:pt idx="35">
                  <c:v>61.943753911198698</c:v>
                </c:pt>
                <c:pt idx="36">
                  <c:v>63.582587356847817</c:v>
                </c:pt>
                <c:pt idx="37">
                  <c:v>65.221573343315015</c:v>
                </c:pt>
                <c:pt idx="38">
                  <c:v>66.861031619029362</c:v>
                </c:pt>
                <c:pt idx="39">
                  <c:v>68.501270026012278</c:v>
                </c:pt>
                <c:pt idx="40">
                  <c:v>70.14258540161066</c:v>
                </c:pt>
                <c:pt idx="41">
                  <c:v>71.785264403997488</c:v>
                </c:pt>
                <c:pt idx="42">
                  <c:v>73.429584269303234</c:v>
                </c:pt>
                <c:pt idx="43">
                  <c:v>75.075813507313001</c:v>
                </c:pt>
                <c:pt idx="44">
                  <c:v>76.724212541853333</c:v>
                </c:pt>
                <c:pt idx="45">
                  <c:v>78.375034301295159</c:v>
                </c:pt>
                <c:pt idx="46">
                  <c:v>80.028524763987775</c:v>
                </c:pt>
                <c:pt idx="47">
                  <c:v>81.684923462905843</c:v>
                </c:pt>
                <c:pt idx="48">
                  <c:v>83.344463953327676</c:v>
                </c:pt>
                <c:pt idx="49">
                  <c:v>85.007374246952821</c:v>
                </c:pt>
                <c:pt idx="50">
                  <c:v>86.673877215509464</c:v>
                </c:pt>
                <c:pt idx="51">
                  <c:v>88.344190966586396</c:v>
                </c:pt>
                <c:pt idx="52">
                  <c:v>90.018529194144293</c:v>
                </c:pt>
                <c:pt idx="53">
                  <c:v>91.697101505916862</c:v>
                </c:pt>
                <c:pt idx="54">
                  <c:v>93.380113729691729</c:v>
                </c:pt>
                <c:pt idx="55">
                  <c:v>95.06776820026947</c:v>
                </c:pt>
                <c:pt idx="56">
                  <c:v>96.760264028725686</c:v>
                </c:pt>
                <c:pt idx="57">
                  <c:v>98.457797355447781</c:v>
                </c:pt>
                <c:pt idx="58">
                  <c:v>100.16056158828206</c:v>
                </c:pt>
                <c:pt idx="59">
                  <c:v>101.86874762700376</c:v>
                </c:pt>
                <c:pt idx="60">
                  <c:v>103.58254407521368</c:v>
                </c:pt>
                <c:pt idx="61">
                  <c:v>105.30213744066666</c:v>
                </c:pt>
                <c:pt idx="62">
                  <c:v>107.02771232494979</c:v>
                </c:pt>
                <c:pt idx="63">
                  <c:v>108.75945160334828</c:v>
                </c:pt>
                <c:pt idx="64">
                  <c:v>110.49753659566632</c:v>
                </c:pt>
                <c:pt idx="65">
                  <c:v>112.24214722870616</c:v>
                </c:pt>
                <c:pt idx="66">
                  <c:v>113.99346219104962</c:v>
                </c:pt>
                <c:pt idx="67">
                  <c:v>115.75165908073576</c:v>
                </c:pt>
                <c:pt idx="68">
                  <c:v>117.5169145463791</c:v>
                </c:pt>
                <c:pt idx="69">
                  <c:v>119.2894044222313</c:v>
                </c:pt>
                <c:pt idx="70">
                  <c:v>121.06930385764969</c:v>
                </c:pt>
                <c:pt idx="71">
                  <c:v>122.85678744140056</c:v>
                </c:pt>
                <c:pt idx="72">
                  <c:v>124.65202932119384</c:v>
                </c:pt>
                <c:pt idx="73">
                  <c:v>126.45520331881551</c:v>
                </c:pt>
                <c:pt idx="74">
                  <c:v>128.26648304119863</c:v>
                </c:pt>
                <c:pt idx="75">
                  <c:v>130.08604198774844</c:v>
                </c:pt>
                <c:pt idx="76">
                  <c:v>131.91405365421633</c:v>
                </c:pt>
                <c:pt idx="77">
                  <c:v>133.75069163339623</c:v>
                </c:pt>
                <c:pt idx="78">
                  <c:v>135.59612971289889</c:v>
                </c:pt>
                <c:pt idx="79">
                  <c:v>137.45054197024271</c:v>
                </c:pt>
                <c:pt idx="80">
                  <c:v>139.31410286548487</c:v>
                </c:pt>
                <c:pt idx="81">
                  <c:v>141.18698733160181</c:v>
                </c:pt>
                <c:pt idx="82">
                  <c:v>143.06937086281511</c:v>
                </c:pt>
                <c:pt idx="83">
                  <c:v>144.96142960104791</c:v>
                </c:pt>
                <c:pt idx="84">
                  <c:v>146.86334042068597</c:v>
                </c:pt>
                <c:pt idx="85">
                  <c:v>148.77528101180604</c:v>
                </c:pt>
                <c:pt idx="86">
                  <c:v>150.6974299620282</c:v>
                </c:pt>
                <c:pt idx="87">
                  <c:v>152.62996683713754</c:v>
                </c:pt>
                <c:pt idx="88">
                  <c:v>154.57307226061465</c:v>
                </c:pt>
                <c:pt idx="89">
                  <c:v>156.52692799220708</c:v>
                </c:pt>
                <c:pt idx="90">
                  <c:v>158.49171700566731</c:v>
                </c:pt>
                <c:pt idx="91">
                  <c:v>160.46762356577761</c:v>
                </c:pt>
                <c:pt idx="92">
                  <c:v>162.45483330477541</c:v>
                </c:pt>
                <c:pt idx="93">
                  <c:v>164.45353329829041</c:v>
                </c:pt>
                <c:pt idx="94">
                  <c:v>166.46391214089718</c:v>
                </c:pt>
                <c:pt idx="95">
                  <c:v>168.48616002138584</c:v>
                </c:pt>
                <c:pt idx="96">
                  <c:v>170.52046879784774</c:v>
                </c:pt>
                <c:pt idx="97">
                  <c:v>172.56703207267142</c:v>
                </c:pt>
                <c:pt idx="98">
                  <c:v>174.62604526753839</c:v>
                </c:pt>
                <c:pt idx="99">
                  <c:v>176.69770569850979</c:v>
                </c:pt>
                <c:pt idx="100">
                  <c:v>178.78221265128852</c:v>
                </c:pt>
                <c:pt idx="101">
                  <c:v>180.87976745674183</c:v>
                </c:pt>
                <c:pt idx="102">
                  <c:v>182.9905735667663</c:v>
                </c:pt>
                <c:pt idx="103">
                  <c:v>185.11483663057561</c:v>
                </c:pt>
                <c:pt idx="104">
                  <c:v>187.25276457149133</c:v>
                </c:pt>
                <c:pt idx="105">
                  <c:v>189.40456766431322</c:v>
                </c:pt>
                <c:pt idx="106">
                  <c:v>191.57045861334672</c:v>
                </c:pt>
                <c:pt idx="107">
                  <c:v>193.7506526311644</c:v>
                </c:pt>
                <c:pt idx="108">
                  <c:v>195.94536751817492</c:v>
                </c:pt>
                <c:pt idx="109">
                  <c:v>198.15482374307649</c:v>
                </c:pt>
                <c:pt idx="110">
                  <c:v>200.37924452426785</c:v>
                </c:pt>
                <c:pt idx="111">
                  <c:v>202.61885591229247</c:v>
                </c:pt>
                <c:pt idx="112">
                  <c:v>204.87388687338881</c:v>
                </c:pt>
                <c:pt idx="113">
                  <c:v>207.1445693742231</c:v>
                </c:pt>
                <c:pt idx="114">
                  <c:v>209.43113846787855</c:v>
                </c:pt>
                <c:pt idx="115">
                  <c:v>211.73383238117501</c:v>
                </c:pt>
                <c:pt idx="116">
                  <c:v>214.05289260339805</c:v>
                </c:pt>
                <c:pt idx="117">
                  <c:v>216.38856397651125</c:v>
                </c:pt>
                <c:pt idx="118">
                  <c:v>218.74109478692949</c:v>
                </c:pt>
                <c:pt idx="119">
                  <c:v>221.11073685893354</c:v>
                </c:pt>
                <c:pt idx="120">
                  <c:v>223.49774564980348</c:v>
                </c:pt>
                <c:pt idx="121">
                  <c:v>225.90238034675193</c:v>
                </c:pt>
                <c:pt idx="122">
                  <c:v>228.32490396574073</c:v>
                </c:pt>
                <c:pt idx="123">
                  <c:v>230.76558345226209</c:v>
                </c:pt>
                <c:pt idx="124">
                  <c:v>233.22468978417263</c:v>
                </c:pt>
                <c:pt idx="125">
                  <c:v>235.70249807666522</c:v>
                </c:pt>
                <c:pt idx="126">
                  <c:v>238.19928768946718</c:v>
                </c:pt>
                <c:pt idx="127">
                  <c:v>240.71534233635896</c:v>
                </c:pt>
                <c:pt idx="128">
                  <c:v>243.25095019710275</c:v>
                </c:pt>
                <c:pt idx="129">
                  <c:v>245.80640403187854</c:v>
                </c:pt>
                <c:pt idx="130">
                  <c:v>248.38200129832745</c:v>
                </c:pt>
                <c:pt idx="131">
                  <c:v>250.97804427129816</c:v>
                </c:pt>
                <c:pt idx="132">
                  <c:v>253.59484016540574</c:v>
                </c:pt>
                <c:pt idx="133">
                  <c:v>256.23270126050511</c:v>
                </c:pt>
                <c:pt idx="134">
                  <c:v>258.89194503019087</c:v>
                </c:pt>
                <c:pt idx="135">
                  <c:v>261.57289427343511</c:v>
                </c:pt>
                <c:pt idx="136">
                  <c:v>264.27587724948216</c:v>
                </c:pt>
                <c:pt idx="137">
                  <c:v>267.00122781611549</c:v>
                </c:pt>
                <c:pt idx="138">
                  <c:v>269.74928557142641</c:v>
                </c:pt>
                <c:pt idx="139">
                  <c:v>272.52039599920835</c:v>
                </c:pt>
                <c:pt idx="140">
                  <c:v>275.3149106181092</c:v>
                </c:pt>
                <c:pt idx="141">
                  <c:v>278.13318713468061</c:v>
                </c:pt>
                <c:pt idx="142">
                  <c:v>280.97558960046342</c:v>
                </c:pt>
                <c:pt idx="143">
                  <c:v>283.84248857325554</c:v>
                </c:pt>
                <c:pt idx="144">
                  <c:v>286.73426128271302</c:v>
                </c:pt>
                <c:pt idx="145">
                  <c:v>289.65129180044403</c:v>
                </c:pt>
                <c:pt idx="146">
                  <c:v>292.59397121475155</c:v>
                </c:pt>
                <c:pt idx="147">
                  <c:v>295.56269781020006</c:v>
                </c:pt>
                <c:pt idx="148">
                  <c:v>298.55787725217453</c:v>
                </c:pt>
                <c:pt idx="149">
                  <c:v>301.5799227766164</c:v>
                </c:pt>
                <c:pt idx="150">
                  <c:v>304.62925538512013</c:v>
                </c:pt>
                <c:pt idx="151">
                  <c:v>307.70630404558949</c:v>
                </c:pt>
                <c:pt idx="152">
                  <c:v>310.81150589864995</c:v>
                </c:pt>
                <c:pt idx="153">
                  <c:v>313.9453064700304</c:v>
                </c:pt>
                <c:pt idx="154">
                  <c:v>317.10815988913407</c:v>
                </c:pt>
                <c:pt idx="155">
                  <c:v>320.3005291140143</c:v>
                </c:pt>
                <c:pt idx="156">
                  <c:v>323.5228861630066</c:v>
                </c:pt>
                <c:pt idx="157">
                  <c:v>326.77571235324507</c:v>
                </c:pt>
                <c:pt idx="158">
                  <c:v>330.05949854632934</c:v>
                </c:pt>
                <c:pt idx="159">
                  <c:v>333.37474540139993</c:v>
                </c:pt>
                <c:pt idx="160">
                  <c:v>336.7219636358987</c:v>
                </c:pt>
                <c:pt idx="161">
                  <c:v>340.10167429430112</c:v>
                </c:pt>
                <c:pt idx="162">
                  <c:v>343.51440902512059</c:v>
                </c:pt>
                <c:pt idx="163">
                  <c:v>346.96071036648954</c:v>
                </c:pt>
                <c:pt idx="164">
                  <c:v>350.44113204064621</c:v>
                </c:pt>
                <c:pt idx="165">
                  <c:v>353.95623925766239</c:v>
                </c:pt>
                <c:pt idx="166">
                  <c:v>357.50660902876132</c:v>
                </c:pt>
                <c:pt idx="167">
                  <c:v>361.09283048959486</c:v>
                </c:pt>
                <c:pt idx="168">
                  <c:v>364.71550523386094</c:v>
                </c:pt>
                <c:pt idx="169">
                  <c:v>368.37524765765431</c:v>
                </c:pt>
                <c:pt idx="170">
                  <c:v>372.07268531497829</c:v>
                </c:pt>
                <c:pt idx="171">
                  <c:v>375.80845928483546</c:v>
                </c:pt>
                <c:pt idx="172">
                  <c:v>379.58322455036284</c:v>
                </c:pt>
                <c:pt idx="173">
                  <c:v>383.39765039047745</c:v>
                </c:pt>
                <c:pt idx="174">
                  <c:v>387.25242078452578</c:v>
                </c:pt>
                <c:pt idx="175">
                  <c:v>391.14823483045672</c:v>
                </c:pt>
                <c:pt idx="176">
                  <c:v>395.0858071770524</c:v>
                </c:pt>
                <c:pt idx="177">
                  <c:v>399.06586847078211</c:v>
                </c:pt>
                <c:pt idx="178">
                  <c:v>403.08916581786889</c:v>
                </c:pt>
                <c:pt idx="179">
                  <c:v>407.15646326218166</c:v>
                </c:pt>
                <c:pt idx="180">
                  <c:v>411.26854227960052</c:v>
                </c:pt>
                <c:pt idx="181">
                  <c:v>415.42620228952399</c:v>
                </c:pt>
                <c:pt idx="182">
                  <c:v>419.63026118423301</c:v>
                </c:pt>
                <c:pt idx="183">
                  <c:v>423.88155587683548</c:v>
                </c:pt>
                <c:pt idx="184">
                  <c:v>428.18094286858235</c:v>
                </c:pt>
                <c:pt idx="185">
                  <c:v>432.52929883634732</c:v>
                </c:pt>
                <c:pt idx="186">
                  <c:v>436.92752124113639</c:v>
                </c:pt>
                <c:pt idx="187">
                  <c:v>441.37652895850215</c:v>
                </c:pt>
                <c:pt idx="188">
                  <c:v>445.87726293180231</c:v>
                </c:pt>
                <c:pt idx="189">
                  <c:v>450.430686849285</c:v>
                </c:pt>
                <c:pt idx="190">
                  <c:v>455.0377878460157</c:v>
                </c:pt>
                <c:pt idx="191">
                  <c:v>459.69957723173439</c:v>
                </c:pt>
                <c:pt idx="192">
                  <c:v>464.4170912457609</c:v>
                </c:pt>
                <c:pt idx="193">
                  <c:v>469.19139184015091</c:v>
                </c:pt>
                <c:pt idx="194">
                  <c:v>474.02356749232951</c:v>
                </c:pt>
                <c:pt idx="195">
                  <c:v>478.9147340485311</c:v>
                </c:pt>
                <c:pt idx="196">
                  <c:v>483.86603559940522</c:v>
                </c:pt>
                <c:pt idx="197">
                  <c:v>488.87864538924714</c:v>
                </c:pt>
                <c:pt idx="198">
                  <c:v>493.95376676036722</c:v>
                </c:pt>
                <c:pt idx="199">
                  <c:v>499.09263413420166</c:v>
                </c:pt>
                <c:pt idx="200">
                  <c:v>504.29651403084898</c:v>
                </c:pt>
                <c:pt idx="201">
                  <c:v>509.5667061288035</c:v>
                </c:pt>
                <c:pt idx="202">
                  <c:v>514.90454436675486</c:v>
                </c:pt>
                <c:pt idx="203">
                  <c:v>520.31139808941566</c:v>
                </c:pt>
                <c:pt idx="204">
                  <c:v>525.78867323944871</c:v>
                </c:pt>
                <c:pt idx="205">
                  <c:v>531.33781359768705</c:v>
                </c:pt>
                <c:pt idx="206">
                  <c:v>536.96030207393153</c:v>
                </c:pt>
                <c:pt idx="207">
                  <c:v>542.65766205077318</c:v>
                </c:pt>
                <c:pt idx="208">
                  <c:v>548.4314587829881</c:v>
                </c:pt>
                <c:pt idx="209">
                  <c:v>554.28330085521964</c:v>
                </c:pt>
                <c:pt idx="210">
                  <c:v>560.21484170079884</c:v>
                </c:pt>
                <c:pt idx="211">
                  <c:v>566.22778118472297</c:v>
                </c:pt>
                <c:pt idx="212">
                  <c:v>572.32386725398089</c:v>
                </c:pt>
                <c:pt idx="213">
                  <c:v>578.50489765859197</c:v>
                </c:pt>
                <c:pt idx="214">
                  <c:v>584.77272174693132</c:v>
                </c:pt>
                <c:pt idx="215">
                  <c:v>591.12924233910439</c:v>
                </c:pt>
                <c:pt idx="216">
                  <c:v>597.5764176823709</c:v>
                </c:pt>
                <c:pt idx="217">
                  <c:v>604.11626349283915</c:v>
                </c:pt>
                <c:pt idx="218">
                  <c:v>610.75085508790903</c:v>
                </c:pt>
                <c:pt idx="219">
                  <c:v>617.48232961421706</c:v>
                </c:pt>
                <c:pt idx="220">
                  <c:v>624.31288837609907</c:v>
                </c:pt>
                <c:pt idx="221">
                  <c:v>631.24479926991773</c:v>
                </c:pt>
                <c:pt idx="222">
                  <c:v>638.28039932992033</c:v>
                </c:pt>
                <c:pt idx="223">
                  <c:v>645.42209739161649</c:v>
                </c:pt>
                <c:pt idx="224">
                  <c:v>652.67237687909119</c:v>
                </c:pt>
                <c:pt idx="225">
                  <c:v>660.03379872299854</c:v>
                </c:pt>
                <c:pt idx="226">
                  <c:v>667.50900441648184</c:v>
                </c:pt>
                <c:pt idx="227">
                  <c:v>675.10071921666088</c:v>
                </c:pt>
                <c:pt idx="228">
                  <c:v>682.81175549986676</c:v>
                </c:pt>
                <c:pt idx="229">
                  <c:v>690.6450162792828</c:v>
                </c:pt>
                <c:pt idx="230">
                  <c:v>698.6034988942871</c:v>
                </c:pt>
                <c:pt idx="231">
                  <c:v>706.69029888130092</c:v>
                </c:pt>
                <c:pt idx="232">
                  <c:v>714.90861403669464</c:v>
                </c:pt>
                <c:pt idx="233">
                  <c:v>723.26174868295709</c:v>
                </c:pt>
                <c:pt idx="234">
                  <c:v>731.75311815006216</c:v>
                </c:pt>
                <c:pt idx="235">
                  <c:v>740.3862534848638</c:v>
                </c:pt>
                <c:pt idx="236">
                  <c:v>749.16480640212035</c:v>
                </c:pt>
                <c:pt idx="237">
                  <c:v>758.0925544917817</c:v>
                </c:pt>
                <c:pt idx="238">
                  <c:v>767.17340669812165</c:v>
                </c:pt>
                <c:pt idx="239">
                  <c:v>776.41140908744114</c:v>
                </c:pt>
                <c:pt idx="240">
                  <c:v>785.81075092222954</c:v>
                </c:pt>
                <c:pt idx="241">
                  <c:v>795.37577106093613</c:v>
                </c:pt>
                <c:pt idx="242">
                  <c:v>805.11096470393875</c:v>
                </c:pt>
                <c:pt idx="243">
                  <c:v>815.02099050771812</c:v>
                </c:pt>
                <c:pt idx="244">
                  <c:v>825.11067809093652</c:v>
                </c:pt>
                <c:pt idx="245">
                  <c:v>835.38503595782925</c:v>
                </c:pt>
                <c:pt idx="246">
                  <c:v>845.84925986622727</c:v>
                </c:pt>
                <c:pt idx="247">
                  <c:v>856.50874166961853</c:v>
                </c:pt>
                <c:pt idx="248">
                  <c:v>867.36907866485853</c:v>
                </c:pt>
                <c:pt idx="249">
                  <c:v>878.43608347961106</c:v>
                </c:pt>
                <c:pt idx="250">
                  <c:v>889.71579453620654</c:v>
                </c:pt>
                <c:pt idx="251">
                  <c:v>901.21448713155485</c:v>
                </c:pt>
                <c:pt idx="252">
                  <c:v>912.93868517579074</c:v>
                </c:pt>
                <c:pt idx="253">
                  <c:v>924.89517363586242</c:v>
                </c:pt>
                <c:pt idx="254">
                  <c:v>937.09101173391718</c:v>
                </c:pt>
                <c:pt idx="255">
                  <c:v>949.53354695444807</c:v>
                </c:pt>
                <c:pt idx="256">
                  <c:v>962.23042991864884</c:v>
                </c:pt>
                <c:pt idx="257">
                  <c:v>975.18963018922727</c:v>
                </c:pt>
                <c:pt idx="258">
                  <c:v>988.41945307436663</c:v>
                </c:pt>
                <c:pt idx="259">
                  <c:v>1001.9285575052116</c:v>
                </c:pt>
                <c:pt idx="260">
                  <c:v>1015.7259750678785</c:v>
                </c:pt>
                <c:pt idx="261">
                  <c:v>1029.821130277835</c:v>
                </c:pt>
                <c:pt idx="262">
                  <c:v>1044.2238621923213</c:v>
                </c:pt>
                <c:pt idx="263">
                  <c:v>1058.9444474650322</c:v>
                </c:pt>
                <c:pt idx="264">
                  <c:v>1073.9936249565646</c:v>
                </c:pt>
                <c:pt idx="265">
                  <c:v>1089.3826220245244</c:v>
                </c:pt>
                <c:pt idx="266">
                  <c:v>1105.1231826285903</c:v>
                </c:pt>
                <c:pt idx="267">
                  <c:v>1121.2275973984003</c:v>
                </c:pt>
                <c:pt idx="268">
                  <c:v>1137.7087358260817</c:v>
                </c:pt>
                <c:pt idx="269">
                  <c:v>1154.5800807606688</c:v>
                </c:pt>
                <c:pt idx="270">
                  <c:v>1171.8557653987618</c:v>
                </c:pt>
                <c:pt idx="271">
                  <c:v>1189.5506129847317</c:v>
                </c:pt>
                <c:pt idx="272">
                  <c:v>1207.6801794548992</c:v>
                </c:pt>
                <c:pt idx="273">
                  <c:v>1226.2607992835949</c:v>
                </c:pt>
                <c:pt idx="274">
                  <c:v>1245.3096348150873</c:v>
                </c:pt>
                <c:pt idx="275">
                  <c:v>1264.8447293946288</c:v>
                </c:pt>
                <c:pt idx="276">
                  <c:v>1284.8850646443389</c:v>
                </c:pt>
                <c:pt idx="277">
                  <c:v>1305.4506222661639</c:v>
                </c:pt>
                <c:pt idx="278">
                  <c:v>1326.5624507949901</c:v>
                </c:pt>
                <c:pt idx="279">
                  <c:v>1348.2427377705985</c:v>
                </c:pt>
                <c:pt idx="280">
                  <c:v>1370.5148878488965</c:v>
                </c:pt>
                <c:pt idx="281">
                  <c:v>1393.4036074304136</c:v>
                </c:pt>
                <c:pt idx="282">
                  <c:v>1416.9349964495134</c:v>
                </c:pt>
                <c:pt idx="283">
                  <c:v>1441.136648041283</c:v>
                </c:pt>
                <c:pt idx="284">
                  <c:v>1466.0377568862928</c:v>
                </c:pt>
                <c:pt idx="285">
                  <c:v>1491.6692371277609</c:v>
                </c:pt>
                <c:pt idx="286">
                  <c:v>1518.0638508625282</c:v>
                </c:pt>
                <c:pt idx="287">
                  <c:v>1545.2563483288282</c:v>
                </c:pt>
                <c:pt idx="288">
                  <c:v>1573.2836210522573</c:v>
                </c:pt>
                <c:pt idx="289">
                  <c:v>1602.1848693692366</c:v>
                </c:pt>
                <c:pt idx="290">
                  <c:v>1632.0017859276775</c:v>
                </c:pt>
                <c:pt idx="291">
                  <c:v>1662.7787569713942</c:v>
                </c:pt>
                <c:pt idx="292">
                  <c:v>1694.563083452018</c:v>
                </c:pt>
                <c:pt idx="293">
                  <c:v>1727.4052242849898</c:v>
                </c:pt>
                <c:pt idx="294">
                  <c:v>1761.3590643809787</c:v>
                </c:pt>
                <c:pt idx="295">
                  <c:v>1796.4822104474099</c:v>
                </c:pt>
                <c:pt idx="296">
                  <c:v>1832.8363179758474</c:v>
                </c:pt>
                <c:pt idx="297">
                  <c:v>1870.4874533196719</c:v>
                </c:pt>
                <c:pt idx="298">
                  <c:v>1909.5064953353894</c:v>
                </c:pt>
                <c:pt idx="299">
                  <c:v>1949.9695817246572</c:v>
                </c:pt>
                <c:pt idx="300">
                  <c:v>1991.9586059908518</c:v>
                </c:pt>
                <c:pt idx="301">
                  <c:v>2035.5617718354508</c:v>
                </c:pt>
                <c:pt idx="302">
                  <c:v>2080.8742128919243</c:v>
                </c:pt>
                <c:pt idx="303">
                  <c:v>2127.9986869607023</c:v>
                </c:pt>
                <c:pt idx="304">
                  <c:v>2177.0463554078297</c:v>
                </c:pt>
                <c:pt idx="305">
                  <c:v>2228.1376601699112</c:v>
                </c:pt>
                <c:pt idx="306">
                  <c:v>2281.4033129304285</c:v>
                </c:pt>
                <c:pt idx="307">
                  <c:v>2336.9854135699493</c:v>
                </c:pt>
                <c:pt idx="308">
                  <c:v>2395.0387180396206</c:v>
                </c:pt>
                <c:pt idx="309">
                  <c:v>2455.7320794782122</c:v>
                </c:pt>
                <c:pt idx="310">
                  <c:v>2519.2500908336779</c:v>
                </c:pt>
                <c:pt idx="311">
                  <c:v>2585.7949626451996</c:v>
                </c:pt>
                <c:pt idx="312">
                  <c:v>2655.5886762223031</c:v>
                </c:pt>
                <c:pt idx="313">
                  <c:v>2728.8754605239178</c:v>
                </c:pt>
                <c:pt idx="314">
                  <c:v>2805.9246509701866</c:v>
                </c:pt>
                <c:pt idx="315">
                  <c:v>2887.0340007092509</c:v>
                </c:pt>
                <c:pt idx="316">
                  <c:v>2972.5335301455502</c:v>
                </c:pt>
                <c:pt idx="317">
                  <c:v>3062.7900196519195</c:v>
                </c:pt>
                <c:pt idx="318">
                  <c:v>3158.2122744313833</c:v>
                </c:pt>
                <c:pt idx="319">
                  <c:v>3259.2573209194584</c:v>
                </c:pt>
                <c:pt idx="320">
                  <c:v>3366.4377328626329</c:v>
                </c:pt>
                <c:pt idx="321">
                  <c:v>3480.3303348814025</c:v>
                </c:pt>
                <c:pt idx="322">
                  <c:v>3601.5865954615251</c:v>
                </c:pt>
                <c:pt idx="323">
                  <c:v>3730.9451047508901</c:v>
                </c:pt>
                <c:pt idx="324">
                  <c:v>3869.2466419451384</c:v>
                </c:pt>
                <c:pt idx="325">
                  <c:v>4017.4524817313327</c:v>
                </c:pt>
                <c:pt idx="326">
                  <c:v>4176.6667823329026</c:v>
                </c:pt>
                <c:pt idx="327">
                  <c:v>4348.164157836115</c:v>
                </c:pt>
                <c:pt idx="328">
                  <c:v>4533.4238916023814</c:v>
                </c:pt>
                <c:pt idx="329">
                  <c:v>4734.1727349847542</c:v>
                </c:pt>
                <c:pt idx="330">
                  <c:v>4952.4389144548413</c:v>
                </c:pt>
                <c:pt idx="331">
                  <c:v>5190.6209279899767</c:v>
                </c:pt>
                <c:pt idx="332">
                  <c:v>5451.5760815319991</c:v>
                </c:pt>
                <c:pt idx="333">
                  <c:v>5738.7357055363527</c:v>
                </c:pt>
                <c:pt idx="334">
                  <c:v>6056.2569275459682</c:v>
                </c:pt>
                <c:pt idx="335">
                  <c:v>6409.2252879170846</c:v>
                </c:pt>
                <c:pt idx="336">
                  <c:v>6803.9292446903492</c:v>
                </c:pt>
                <c:pt idx="337">
                  <c:v>7248.2381956716536</c:v>
                </c:pt>
                <c:pt idx="338">
                  <c:v>7752.1326151337798</c:v>
                </c:pt>
                <c:pt idx="339">
                  <c:v>8328.4628508098049</c:v>
                </c:pt>
                <c:pt idx="340">
                  <c:v>8994.0605577606311</c:v>
                </c:pt>
                <c:pt idx="341">
                  <c:v>9771.4100165694417</c:v>
                </c:pt>
                <c:pt idx="342">
                  <c:v>9900</c:v>
                </c:pt>
                <c:pt idx="343">
                  <c:v>9900</c:v>
                </c:pt>
                <c:pt idx="344">
                  <c:v>9900</c:v>
                </c:pt>
                <c:pt idx="345">
                  <c:v>9900</c:v>
                </c:pt>
                <c:pt idx="346">
                  <c:v>9900</c:v>
                </c:pt>
                <c:pt idx="347">
                  <c:v>9900</c:v>
                </c:pt>
                <c:pt idx="348">
                  <c:v>9900</c:v>
                </c:pt>
                <c:pt idx="349">
                  <c:v>9900</c:v>
                </c:pt>
                <c:pt idx="350">
                  <c:v>9900</c:v>
                </c:pt>
                <c:pt idx="351">
                  <c:v>9900</c:v>
                </c:pt>
                <c:pt idx="352">
                  <c:v>9900</c:v>
                </c:pt>
                <c:pt idx="353">
                  <c:v>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04-45B6-B739-2A732028A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57674096"/>
        <c:axId val="676946527"/>
      </c:lineChart>
      <c:catAx>
        <c:axId val="957674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Protection</a:t>
                </a:r>
              </a:p>
            </c:rich>
          </c:tx>
          <c:layout>
            <c:manualLayout>
              <c:xMode val="edge"/>
              <c:yMode val="edge"/>
              <c:x val="0.44665857392825892"/>
              <c:y val="0.89821741032370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946527"/>
        <c:crosses val="autoZero"/>
        <c:auto val="1"/>
        <c:lblAlgn val="ctr"/>
        <c:lblOffset val="100"/>
        <c:noMultiLvlLbl val="0"/>
      </c:catAx>
      <c:valAx>
        <c:axId val="676946527"/>
        <c:scaling>
          <c:orientation val="minMax"/>
          <c:max val="1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HP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67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5</xdr:row>
      <xdr:rowOff>180975</xdr:rowOff>
    </xdr:from>
    <xdr:to>
      <xdr:col>13</xdr:col>
      <xdr:colOff>323850</xdr:colOff>
      <xdr:row>20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56EC797-6298-0C45-9829-2656E8F98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28575</xdr:colOff>
      <xdr:row>23</xdr:row>
      <xdr:rowOff>28575</xdr:rowOff>
    </xdr:from>
    <xdr:to>
      <xdr:col>13</xdr:col>
      <xdr:colOff>333375</xdr:colOff>
      <xdr:row>37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AA7A4E-53EF-1A9F-AD47-14FA7FADF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0</xdr:row>
      <xdr:rowOff>9525</xdr:rowOff>
    </xdr:from>
    <xdr:to>
      <xdr:col>9</xdr:col>
      <xdr:colOff>895350</xdr:colOff>
      <xdr:row>1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57CCE9-7D00-0852-F392-4D3D20A86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525"/>
          <a:ext cx="8096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123825</xdr:colOff>
      <xdr:row>15</xdr:row>
      <xdr:rowOff>19050</xdr:rowOff>
    </xdr:from>
    <xdr:to>
      <xdr:col>9</xdr:col>
      <xdr:colOff>866775</xdr:colOff>
      <xdr:row>16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68FF37-E902-69BE-6634-6006C7811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2981325"/>
          <a:ext cx="7429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466725</xdr:colOff>
      <xdr:row>2</xdr:row>
      <xdr:rowOff>123825</xdr:rowOff>
    </xdr:from>
    <xdr:to>
      <xdr:col>10</xdr:col>
      <xdr:colOff>300304</xdr:colOff>
      <xdr:row>19</xdr:row>
      <xdr:rowOff>85725</xdr:rowOff>
    </xdr:to>
    <xdr:pic>
      <xdr:nvPicPr>
        <xdr:cNvPr id="2" name="Picture 1" descr="Alban Knight Emblem - Mabinogi World Wiki">
          <a:extLst>
            <a:ext uri="{FF2B5EF4-FFF2-40B4-BE49-F238E27FC236}">
              <a16:creationId xmlns:a16="http://schemas.microsoft.com/office/drawing/2014/main" id="{44AB05F5-C579-B3D7-83A0-D6A86E649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8450" y="638175"/>
          <a:ext cx="2271979" cy="291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5B68-7723-4AB5-9E87-1371F55930A7}">
  <dimension ref="A1:G365"/>
  <sheetViews>
    <sheetView tabSelected="1" workbookViewId="0">
      <selection activeCell="N22" sqref="N22"/>
    </sheetView>
  </sheetViews>
  <sheetFormatPr defaultRowHeight="15"/>
  <cols>
    <col min="1" max="1" width="13.5703125" customWidth="1"/>
    <col min="2" max="2" width="23.42578125" customWidth="1"/>
    <col min="3" max="3" width="22.42578125" customWidth="1"/>
    <col min="4" max="4" width="21.85546875" customWidth="1"/>
    <col min="5" max="5" width="16.42578125" customWidth="1"/>
  </cols>
  <sheetData>
    <row r="1" spans="1:7" ht="24">
      <c r="A1" s="51" t="s">
        <v>38</v>
      </c>
      <c r="B1" s="51"/>
      <c r="C1" s="51"/>
      <c r="D1" s="51"/>
      <c r="E1" s="51"/>
      <c r="G1" s="28" t="s">
        <v>45</v>
      </c>
    </row>
    <row r="3" spans="1:7" s="28" customFormat="1" ht="13.5">
      <c r="A3" s="28" t="s">
        <v>39</v>
      </c>
    </row>
    <row r="4" spans="1:7" s="28" customFormat="1" ht="15.75">
      <c r="A4" s="48" t="s">
        <v>44</v>
      </c>
    </row>
    <row r="5" spans="1:7">
      <c r="B5" s="2"/>
    </row>
    <row r="6" spans="1:7">
      <c r="A6" s="28" t="s">
        <v>40</v>
      </c>
      <c r="B6" s="49" t="s">
        <v>41</v>
      </c>
      <c r="C6" s="28" t="s">
        <v>42</v>
      </c>
      <c r="D6" s="28" t="s">
        <v>43</v>
      </c>
      <c r="E6" s="28" t="s">
        <v>42</v>
      </c>
    </row>
    <row r="7" spans="1:7">
      <c r="A7" s="28">
        <v>0</v>
      </c>
      <c r="B7" s="42">
        <f>(100/SQRT(2))*LOG10((A7+10*SQRT(2))/(10*SQRT(2)))</f>
        <v>0</v>
      </c>
      <c r="C7" s="42">
        <f>B7/(100-B7)*100</f>
        <v>0</v>
      </c>
      <c r="D7" s="28">
        <f>ROUND((100/SQRT(2))*LOG10((A7+10*SQRT(2))/(10*SQRT(2))), 0)</f>
        <v>0</v>
      </c>
      <c r="E7" s="42">
        <f>D7/(100-D7)*100</f>
        <v>0</v>
      </c>
    </row>
    <row r="8" spans="1:7">
      <c r="A8" s="28">
        <v>1</v>
      </c>
      <c r="B8" s="42">
        <f t="shared" ref="B8:B71" si="0">(100/SQRT(2))*LOG10((A8+10*SQRT(2))/(10*SQRT(2)))</f>
        <v>2.0981367081488904</v>
      </c>
      <c r="C8" s="42">
        <f t="shared" ref="C8:C71" si="1">B8/(100-B8)*100</f>
        <v>2.1431019161445617</v>
      </c>
      <c r="D8" s="28">
        <f t="shared" ref="D8:D71" si="2">ROUND((100/SQRT(2))*LOG10((A8+10*SQRT(2))/(10*SQRT(2))), 0)</f>
        <v>2</v>
      </c>
      <c r="E8" s="42">
        <f t="shared" ref="E8:E71" si="3">D8/(100-D8)*100</f>
        <v>2.0408163265306123</v>
      </c>
    </row>
    <row r="9" spans="1:7">
      <c r="A9" s="28">
        <v>2</v>
      </c>
      <c r="B9" s="42">
        <f t="shared" si="0"/>
        <v>4.0620451931641126</v>
      </c>
      <c r="C9" s="42">
        <f t="shared" si="1"/>
        <v>4.2340335494359307</v>
      </c>
      <c r="D9" s="28">
        <f t="shared" si="2"/>
        <v>4</v>
      </c>
      <c r="E9" s="42">
        <f t="shared" si="3"/>
        <v>4.1666666666666661</v>
      </c>
    </row>
    <row r="10" spans="1:7">
      <c r="A10" s="28">
        <v>3</v>
      </c>
      <c r="B10" s="42">
        <f t="shared" si="0"/>
        <v>5.9078721337500308</v>
      </c>
      <c r="C10" s="42">
        <f t="shared" si="1"/>
        <v>6.2788165893622363</v>
      </c>
      <c r="D10" s="28">
        <f t="shared" si="2"/>
        <v>6</v>
      </c>
      <c r="E10" s="42">
        <f t="shared" si="3"/>
        <v>6.3829787234042552</v>
      </c>
    </row>
    <row r="11" spans="1:7">
      <c r="A11" s="28">
        <v>4</v>
      </c>
      <c r="B11" s="42">
        <f t="shared" si="0"/>
        <v>7.6490152751094573</v>
      </c>
      <c r="C11" s="42">
        <f t="shared" si="1"/>
        <v>8.2825486895408122</v>
      </c>
      <c r="D11" s="28">
        <f t="shared" si="2"/>
        <v>8</v>
      </c>
      <c r="E11" s="42">
        <f t="shared" si="3"/>
        <v>8.695652173913043</v>
      </c>
    </row>
    <row r="12" spans="1:7">
      <c r="A12" s="28">
        <v>5</v>
      </c>
      <c r="B12" s="42">
        <f t="shared" si="0"/>
        <v>9.2967140597114852</v>
      </c>
      <c r="C12" s="42">
        <f t="shared" si="1"/>
        <v>10.249589045574012</v>
      </c>
      <c r="D12" s="28">
        <f t="shared" si="2"/>
        <v>9</v>
      </c>
      <c r="E12" s="42">
        <f t="shared" si="3"/>
        <v>9.8901098901098905</v>
      </c>
    </row>
    <row r="13" spans="1:7">
      <c r="A13" s="28">
        <v>6</v>
      </c>
      <c r="B13" s="42">
        <f t="shared" si="0"/>
        <v>10.860489684575999</v>
      </c>
      <c r="C13" s="42">
        <f t="shared" si="1"/>
        <v>12.183699064697223</v>
      </c>
      <c r="D13" s="28">
        <f t="shared" si="2"/>
        <v>11</v>
      </c>
      <c r="E13" s="42">
        <f t="shared" si="3"/>
        <v>12.359550561797752</v>
      </c>
    </row>
    <row r="14" spans="1:7">
      <c r="A14" s="28">
        <v>7</v>
      </c>
      <c r="B14" s="42">
        <f t="shared" si="0"/>
        <v>12.348478422927373</v>
      </c>
      <c r="C14" s="42">
        <f t="shared" si="1"/>
        <v>14.088150668404845</v>
      </c>
      <c r="D14" s="28">
        <f t="shared" si="2"/>
        <v>12</v>
      </c>
      <c r="E14" s="42">
        <f t="shared" si="3"/>
        <v>13.636363636363635</v>
      </c>
    </row>
    <row r="15" spans="1:7">
      <c r="A15" s="28">
        <v>8</v>
      </c>
      <c r="B15" s="42">
        <f t="shared" si="0"/>
        <v>13.767687844562266</v>
      </c>
      <c r="C15" s="42">
        <f t="shared" si="1"/>
        <v>15.96581084332445</v>
      </c>
      <c r="D15" s="28">
        <f t="shared" si="2"/>
        <v>14</v>
      </c>
      <c r="E15" s="42">
        <f t="shared" si="3"/>
        <v>16.279069767441861</v>
      </c>
    </row>
    <row r="16" spans="1:7">
      <c r="A16" s="28">
        <v>9</v>
      </c>
      <c r="B16" s="42">
        <f t="shared" si="0"/>
        <v>15.124196393286335</v>
      </c>
      <c r="C16" s="42">
        <f t="shared" si="1"/>
        <v>17.819208479447038</v>
      </c>
      <c r="D16" s="28">
        <f t="shared" si="2"/>
        <v>15</v>
      </c>
      <c r="E16" s="42">
        <f t="shared" si="3"/>
        <v>17.647058823529413</v>
      </c>
    </row>
    <row r="17" spans="1:5">
      <c r="A17" s="28">
        <v>10</v>
      </c>
      <c r="B17" s="42">
        <f t="shared" si="0"/>
        <v>16.423310713845204</v>
      </c>
      <c r="C17" s="42">
        <f t="shared" si="1"/>
        <v>19.650587806384749</v>
      </c>
      <c r="D17" s="28">
        <f t="shared" si="2"/>
        <v>16</v>
      </c>
      <c r="E17" s="42">
        <f t="shared" si="3"/>
        <v>19.047619047619047</v>
      </c>
    </row>
    <row r="18" spans="1:5">
      <c r="A18" s="28">
        <v>11</v>
      </c>
      <c r="B18" s="42">
        <f t="shared" si="0"/>
        <v>17.669691027079903</v>
      </c>
      <c r="C18" s="42">
        <f t="shared" si="1"/>
        <v>21.461951555279331</v>
      </c>
      <c r="D18" s="28">
        <f t="shared" si="2"/>
        <v>18</v>
      </c>
      <c r="E18" s="42">
        <f t="shared" si="3"/>
        <v>21.951219512195124</v>
      </c>
    </row>
    <row r="19" spans="1:5">
      <c r="A19" s="28">
        <v>12</v>
      </c>
      <c r="B19" s="42">
        <f t="shared" si="0"/>
        <v>18.867452037269366</v>
      </c>
      <c r="C19" s="42">
        <f t="shared" si="1"/>
        <v>23.255096149496492</v>
      </c>
      <c r="D19" s="28">
        <f t="shared" si="2"/>
        <v>19</v>
      </c>
      <c r="E19" s="42">
        <f t="shared" si="3"/>
        <v>23.456790123456788</v>
      </c>
    </row>
    <row r="20" spans="1:5">
      <c r="A20" s="28">
        <v>13</v>
      </c>
      <c r="B20" s="42">
        <f t="shared" si="0"/>
        <v>20.020244887127006</v>
      </c>
      <c r="C20" s="42">
        <f t="shared" si="1"/>
        <v>25.031640643151565</v>
      </c>
      <c r="D20" s="28">
        <f t="shared" si="2"/>
        <v>20</v>
      </c>
      <c r="E20" s="42">
        <f t="shared" si="3"/>
        <v>25</v>
      </c>
    </row>
    <row r="21" spans="1:5">
      <c r="A21" s="28">
        <v>14</v>
      </c>
      <c r="B21" s="42">
        <f t="shared" si="0"/>
        <v>21.131324277792483</v>
      </c>
      <c r="C21" s="42">
        <f t="shared" si="1"/>
        <v>26.793050706495396</v>
      </c>
      <c r="D21" s="28">
        <f t="shared" si="2"/>
        <v>21</v>
      </c>
      <c r="E21" s="42">
        <f t="shared" si="3"/>
        <v>26.582278481012654</v>
      </c>
    </row>
    <row r="22" spans="1:5">
      <c r="A22" s="28">
        <v>15</v>
      </c>
      <c r="B22" s="42">
        <f t="shared" si="0"/>
        <v>22.203603863962506</v>
      </c>
      <c r="C22" s="42">
        <f t="shared" si="1"/>
        <v>28.540658650995237</v>
      </c>
      <c r="D22" s="28">
        <f t="shared" si="2"/>
        <v>22</v>
      </c>
      <c r="E22" s="42">
        <f t="shared" si="3"/>
        <v>28.205128205128204</v>
      </c>
    </row>
    <row r="23" spans="1:5">
      <c r="A23" s="28">
        <v>16</v>
      </c>
      <c r="B23" s="42">
        <f t="shared" si="0"/>
        <v>23.239702299206201</v>
      </c>
      <c r="C23" s="42">
        <f t="shared" si="1"/>
        <v>30.275680260898564</v>
      </c>
      <c r="D23" s="28">
        <f t="shared" si="2"/>
        <v>23</v>
      </c>
      <c r="E23" s="42">
        <f t="shared" si="3"/>
        <v>29.870129870129869</v>
      </c>
    </row>
    <row r="24" spans="1:5">
      <c r="A24" s="28">
        <v>17</v>
      </c>
      <c r="B24" s="42">
        <f t="shared" si="0"/>
        <v>24.241981763508797</v>
      </c>
      <c r="C24" s="42">
        <f t="shared" si="1"/>
        <v>31.999229029240752</v>
      </c>
      <c r="D24" s="28">
        <f t="shared" si="2"/>
        <v>24</v>
      </c>
      <c r="E24" s="42">
        <f t="shared" si="3"/>
        <v>31.578947368421051</v>
      </c>
    </row>
    <row r="25" spans="1:5">
      <c r="A25" s="28">
        <v>18</v>
      </c>
      <c r="B25" s="42">
        <f t="shared" si="0"/>
        <v>25.212580399489809</v>
      </c>
      <c r="C25" s="42">
        <f t="shared" si="1"/>
        <v>33.712328268801258</v>
      </c>
      <c r="D25" s="28">
        <f t="shared" si="2"/>
        <v>25</v>
      </c>
      <c r="E25" s="42">
        <f t="shared" si="3"/>
        <v>33.333333333333329</v>
      </c>
    </row>
    <row r="26" spans="1:5">
      <c r="A26" s="28">
        <v>19</v>
      </c>
      <c r="B26" s="42">
        <f t="shared" si="0"/>
        <v>26.15343977762954</v>
      </c>
      <c r="C26" s="42">
        <f t="shared" si="1"/>
        <v>35.415921471325127</v>
      </c>
      <c r="D26" s="28">
        <f t="shared" si="2"/>
        <v>26</v>
      </c>
      <c r="E26" s="42">
        <f t="shared" si="3"/>
        <v>35.135135135135137</v>
      </c>
    </row>
    <row r="27" spans="1:5">
      <c r="A27" s="28">
        <v>20</v>
      </c>
      <c r="B27" s="42">
        <f t="shared" si="0"/>
        <v>27.066328277573106</v>
      </c>
      <c r="C27" s="42">
        <f t="shared" si="1"/>
        <v>37.110881213526355</v>
      </c>
      <c r="D27" s="28">
        <f t="shared" si="2"/>
        <v>27</v>
      </c>
      <c r="E27" s="42">
        <f t="shared" si="3"/>
        <v>36.986301369863014</v>
      </c>
    </row>
    <row r="28" spans="1:5">
      <c r="A28" s="28">
        <v>21</v>
      </c>
      <c r="B28" s="42">
        <f t="shared" si="0"/>
        <v>27.952861093223031</v>
      </c>
      <c r="C28" s="42">
        <f t="shared" si="1"/>
        <v>38.798016850317566</v>
      </c>
      <c r="D28" s="28">
        <f t="shared" si="2"/>
        <v>28</v>
      </c>
      <c r="E28" s="42">
        <f t="shared" si="3"/>
        <v>38.888888888888893</v>
      </c>
    </row>
    <row r="29" spans="1:5">
      <c r="A29" s="28">
        <v>22</v>
      </c>
      <c r="B29" s="42">
        <f t="shared" si="0"/>
        <v>28.81451743025832</v>
      </c>
      <c r="C29" s="42">
        <f t="shared" si="1"/>
        <v>40.478081190259864</v>
      </c>
      <c r="D29" s="28">
        <f t="shared" si="2"/>
        <v>29</v>
      </c>
      <c r="E29" s="42">
        <f t="shared" si="3"/>
        <v>40.845070422535215</v>
      </c>
    </row>
    <row r="30" spans="1:5">
      <c r="A30" s="28">
        <v>23</v>
      </c>
      <c r="B30" s="42">
        <f t="shared" si="0"/>
        <v>29.652655356026866</v>
      </c>
      <c r="C30" s="42">
        <f t="shared" si="1"/>
        <v>42.151776312380399</v>
      </c>
      <c r="D30" s="28">
        <f t="shared" si="2"/>
        <v>30</v>
      </c>
      <c r="E30" s="42">
        <f t="shared" si="3"/>
        <v>42.857142857142854</v>
      </c>
    </row>
    <row r="31" spans="1:5">
      <c r="A31" s="28">
        <v>24</v>
      </c>
      <c r="B31" s="42">
        <f t="shared" si="0"/>
        <v>30.468524676181286</v>
      </c>
      <c r="C31" s="42">
        <f t="shared" si="1"/>
        <v>43.819758655033148</v>
      </c>
      <c r="D31" s="28">
        <f t="shared" si="2"/>
        <v>30</v>
      </c>
      <c r="E31" s="42">
        <f t="shared" si="3"/>
        <v>42.857142857142854</v>
      </c>
    </row>
    <row r="32" spans="1:5">
      <c r="A32" s="28">
        <v>25</v>
      </c>
      <c r="B32" s="42">
        <f t="shared" si="0"/>
        <v>31.263278144577495</v>
      </c>
      <c r="C32" s="42">
        <f t="shared" si="1"/>
        <v>45.482643484708454</v>
      </c>
      <c r="D32" s="28">
        <f t="shared" si="2"/>
        <v>31</v>
      </c>
      <c r="E32" s="42">
        <f t="shared" si="3"/>
        <v>44.927536231884055</v>
      </c>
    </row>
    <row r="33" spans="1:5">
      <c r="A33" s="28">
        <v>26</v>
      </c>
      <c r="B33" s="42">
        <f t="shared" si="0"/>
        <v>32.037981258805303</v>
      </c>
      <c r="C33" s="42">
        <f t="shared" si="1"/>
        <v>47.1410088343737</v>
      </c>
      <c r="D33" s="28">
        <f t="shared" si="2"/>
        <v>32</v>
      </c>
      <c r="E33" s="42">
        <f t="shared" si="3"/>
        <v>47.058823529411761</v>
      </c>
    </row>
    <row r="34" spans="1:5">
      <c r="A34" s="28">
        <v>27</v>
      </c>
      <c r="B34" s="42">
        <f t="shared" si="0"/>
        <v>32.793620850234142</v>
      </c>
      <c r="C34" s="42">
        <f t="shared" si="1"/>
        <v>48.795398986092216</v>
      </c>
      <c r="D34" s="28">
        <f t="shared" si="2"/>
        <v>33</v>
      </c>
      <c r="E34" s="42">
        <f t="shared" si="3"/>
        <v>49.253731343283583</v>
      </c>
    </row>
    <row r="35" spans="1:5">
      <c r="A35" s="28">
        <v>28</v>
      </c>
      <c r="B35" s="42">
        <f t="shared" si="0"/>
        <v>33.531112642328885</v>
      </c>
      <c r="C35" s="42">
        <f t="shared" si="1"/>
        <v>50.446327560587768</v>
      </c>
      <c r="D35" s="28">
        <f t="shared" si="2"/>
        <v>34</v>
      </c>
      <c r="E35" s="42">
        <f t="shared" si="3"/>
        <v>51.515151515151516</v>
      </c>
    </row>
    <row r="36" spans="1:5">
      <c r="A36" s="28">
        <v>29</v>
      </c>
      <c r="B36" s="42">
        <f t="shared" si="0"/>
        <v>34.251307922456746</v>
      </c>
      <c r="C36" s="42">
        <f t="shared" si="1"/>
        <v>52.094280266535407</v>
      </c>
      <c r="D36" s="28">
        <f t="shared" si="2"/>
        <v>34</v>
      </c>
      <c r="E36" s="42">
        <f t="shared" si="3"/>
        <v>51.515151515151516</v>
      </c>
    </row>
    <row r="37" spans="1:5">
      <c r="A37" s="28">
        <v>30</v>
      </c>
      <c r="B37" s="42">
        <f t="shared" si="0"/>
        <v>34.954999449104129</v>
      </c>
      <c r="C37" s="42">
        <f t="shared" si="1"/>
        <v>53.739717354222826</v>
      </c>
      <c r="D37" s="28">
        <f t="shared" si="2"/>
        <v>35</v>
      </c>
      <c r="E37" s="42">
        <f t="shared" si="3"/>
        <v>53.846153846153847</v>
      </c>
    </row>
    <row r="38" spans="1:5">
      <c r="A38" s="28">
        <v>31</v>
      </c>
      <c r="B38" s="42">
        <f t="shared" si="0"/>
        <v>35.64292669729835</v>
      </c>
      <c r="C38" s="42">
        <f t="shared" si="1"/>
        <v>55.383075811500724</v>
      </c>
      <c r="D38" s="28">
        <f t="shared" si="2"/>
        <v>36</v>
      </c>
      <c r="E38" s="42">
        <f t="shared" si="3"/>
        <v>56.25</v>
      </c>
    </row>
    <row r="39" spans="1:5">
      <c r="A39" s="28">
        <v>32</v>
      </c>
      <c r="B39" s="42">
        <f t="shared" si="0"/>
        <v>36.315780529258305</v>
      </c>
      <c r="C39" s="42">
        <f t="shared" si="1"/>
        <v>57.024771334353538</v>
      </c>
      <c r="D39" s="28">
        <f t="shared" si="2"/>
        <v>36</v>
      </c>
      <c r="E39" s="42">
        <f t="shared" si="3"/>
        <v>56.25</v>
      </c>
    </row>
    <row r="40" spans="1:5">
      <c r="A40" s="28">
        <v>33</v>
      </c>
      <c r="B40" s="42">
        <f t="shared" si="0"/>
        <v>36.974207364233315</v>
      </c>
      <c r="C40" s="42">
        <f t="shared" si="1"/>
        <v>58.66520009976157</v>
      </c>
      <c r="D40" s="28">
        <f t="shared" si="2"/>
        <v>37</v>
      </c>
      <c r="E40" s="42">
        <f t="shared" si="3"/>
        <v>58.730158730158735</v>
      </c>
    </row>
    <row r="41" spans="1:5">
      <c r="A41" s="28">
        <v>34</v>
      </c>
      <c r="B41" s="42">
        <f t="shared" si="0"/>
        <v>37.618812910619106</v>
      </c>
      <c r="C41" s="42">
        <f t="shared" si="1"/>
        <v>60.304740364620166</v>
      </c>
      <c r="D41" s="28">
        <f t="shared" si="2"/>
        <v>38</v>
      </c>
      <c r="E41" s="42">
        <f t="shared" si="3"/>
        <v>61.29032258064516</v>
      </c>
    </row>
    <row r="42" spans="1:5">
      <c r="A42" s="28">
        <v>35</v>
      </c>
      <c r="B42" s="42">
        <f t="shared" si="0"/>
        <v>38.250165514358365</v>
      </c>
      <c r="C42" s="42">
        <f t="shared" si="1"/>
        <v>61.943753911198698</v>
      </c>
      <c r="D42" s="28">
        <f t="shared" si="2"/>
        <v>38</v>
      </c>
      <c r="E42" s="42">
        <f t="shared" si="3"/>
        <v>61.29032258064516</v>
      </c>
    </row>
    <row r="43" spans="1:5">
      <c r="A43" s="28">
        <v>36</v>
      </c>
      <c r="B43" s="42">
        <f t="shared" si="0"/>
        <v>38.86879917001518</v>
      </c>
      <c r="C43" s="42">
        <f t="shared" si="1"/>
        <v>63.582587356847817</v>
      </c>
      <c r="D43" s="28">
        <f t="shared" si="2"/>
        <v>39</v>
      </c>
      <c r="E43" s="42">
        <f t="shared" si="3"/>
        <v>63.934426229508205</v>
      </c>
    </row>
    <row r="44" spans="1:5">
      <c r="A44" s="28">
        <v>37</v>
      </c>
      <c r="B44" s="42">
        <f t="shared" si="0"/>
        <v>39.47521623449903</v>
      </c>
      <c r="C44" s="42">
        <f t="shared" si="1"/>
        <v>65.221573343315015</v>
      </c>
      <c r="D44" s="28">
        <f t="shared" si="2"/>
        <v>39</v>
      </c>
      <c r="E44" s="42">
        <f t="shared" si="3"/>
        <v>63.934426229508205</v>
      </c>
    </row>
    <row r="45" spans="1:5">
      <c r="A45" s="28">
        <v>38</v>
      </c>
      <c r="B45" s="42">
        <f t="shared" si="0"/>
        <v>40.069889877993731</v>
      </c>
      <c r="C45" s="42">
        <f t="shared" si="1"/>
        <v>66.861031619029362</v>
      </c>
      <c r="D45" s="28">
        <f t="shared" si="2"/>
        <v>40</v>
      </c>
      <c r="E45" s="42">
        <f t="shared" si="3"/>
        <v>66.666666666666657</v>
      </c>
    </row>
    <row r="46" spans="1:5">
      <c r="A46" s="28">
        <v>39</v>
      </c>
      <c r="B46" s="42">
        <f t="shared" si="0"/>
        <v>40.653266302050682</v>
      </c>
      <c r="C46" s="42">
        <f t="shared" si="1"/>
        <v>68.501270026012278</v>
      </c>
      <c r="D46" s="28">
        <f t="shared" si="2"/>
        <v>41</v>
      </c>
      <c r="E46" s="42">
        <f t="shared" si="3"/>
        <v>69.491525423728817</v>
      </c>
    </row>
    <row r="47" spans="1:5">
      <c r="A47" s="28">
        <v>40</v>
      </c>
      <c r="B47" s="42">
        <f t="shared" si="0"/>
        <v>41.22576675089519</v>
      </c>
      <c r="C47" s="42">
        <f t="shared" si="1"/>
        <v>70.14258540161066</v>
      </c>
      <c r="D47" s="28">
        <f t="shared" si="2"/>
        <v>41</v>
      </c>
      <c r="E47" s="42">
        <f t="shared" si="3"/>
        <v>69.491525423728817</v>
      </c>
    </row>
    <row r="48" spans="1:5">
      <c r="A48" s="28">
        <v>41</v>
      </c>
      <c r="B48" s="42">
        <f t="shared" si="0"/>
        <v>41.787789338657049</v>
      </c>
      <c r="C48" s="42">
        <f t="shared" si="1"/>
        <v>71.785264403997488</v>
      </c>
      <c r="D48" s="28">
        <f t="shared" si="2"/>
        <v>42</v>
      </c>
      <c r="E48" s="42">
        <f t="shared" si="3"/>
        <v>72.41379310344827</v>
      </c>
    </row>
    <row r="49" spans="1:5">
      <c r="A49" s="28">
        <v>42</v>
      </c>
      <c r="B49" s="42">
        <f t="shared" si="0"/>
        <v>42.339710712378242</v>
      </c>
      <c r="C49" s="42">
        <f t="shared" si="1"/>
        <v>73.429584269303234</v>
      </c>
      <c r="D49" s="28">
        <f t="shared" si="2"/>
        <v>42</v>
      </c>
      <c r="E49" s="42">
        <f t="shared" si="3"/>
        <v>72.41379310344827</v>
      </c>
    </row>
    <row r="50" spans="1:5">
      <c r="A50" s="28">
        <v>43</v>
      </c>
      <c r="B50" s="42">
        <f t="shared" si="0"/>
        <v>42.881887568197449</v>
      </c>
      <c r="C50" s="42">
        <f t="shared" si="1"/>
        <v>75.075813507313001</v>
      </c>
      <c r="D50" s="28">
        <f t="shared" si="2"/>
        <v>43</v>
      </c>
      <c r="E50" s="42">
        <f t="shared" si="3"/>
        <v>75.438596491228068</v>
      </c>
    </row>
    <row r="51" spans="1:5">
      <c r="A51" s="28">
        <v>44</v>
      </c>
      <c r="B51" s="42">
        <f t="shared" si="0"/>
        <v>43.414658035996538</v>
      </c>
      <c r="C51" s="42">
        <f t="shared" si="1"/>
        <v>76.724212541853333</v>
      </c>
      <c r="D51" s="28">
        <f t="shared" si="2"/>
        <v>43</v>
      </c>
      <c r="E51" s="42">
        <f t="shared" si="3"/>
        <v>75.438596491228068</v>
      </c>
    </row>
    <row r="52" spans="1:5">
      <c r="A52" s="28">
        <v>45</v>
      </c>
      <c r="B52" s="42">
        <f t="shared" si="0"/>
        <v>43.938342945970263</v>
      </c>
      <c r="C52" s="42">
        <f t="shared" si="1"/>
        <v>78.375034301295159</v>
      </c>
      <c r="D52" s="28">
        <f t="shared" si="2"/>
        <v>44</v>
      </c>
      <c r="E52" s="42">
        <f t="shared" si="3"/>
        <v>78.571428571428569</v>
      </c>
    </row>
    <row r="53" spans="1:5">
      <c r="A53" s="28">
        <v>46</v>
      </c>
      <c r="B53" s="42">
        <f t="shared" si="0"/>
        <v>44.453246988999588</v>
      </c>
      <c r="C53" s="42">
        <f t="shared" si="1"/>
        <v>80.028524763987775</v>
      </c>
      <c r="D53" s="28">
        <f t="shared" si="2"/>
        <v>44</v>
      </c>
      <c r="E53" s="42">
        <f t="shared" si="3"/>
        <v>78.571428571428569</v>
      </c>
    </row>
    <row r="54" spans="1:5">
      <c r="A54" s="28">
        <v>47</v>
      </c>
      <c r="B54" s="42">
        <f t="shared" si="0"/>
        <v>44.959659781337471</v>
      </c>
      <c r="C54" s="42">
        <f t="shared" si="1"/>
        <v>81.684923462905843</v>
      </c>
      <c r="D54" s="28">
        <f t="shared" si="2"/>
        <v>45</v>
      </c>
      <c r="E54" s="42">
        <f t="shared" si="3"/>
        <v>81.818181818181827</v>
      </c>
    </row>
    <row r="55" spans="1:5">
      <c r="A55" s="28">
        <v>48</v>
      </c>
      <c r="B55" s="42">
        <f t="shared" si="0"/>
        <v>45.457856842922681</v>
      </c>
      <c r="C55" s="42">
        <f t="shared" si="1"/>
        <v>83.344463953327676</v>
      </c>
      <c r="D55" s="28">
        <f t="shared" si="2"/>
        <v>45</v>
      </c>
      <c r="E55" s="42">
        <f t="shared" si="3"/>
        <v>81.818181818181827</v>
      </c>
    </row>
    <row r="56" spans="1:5">
      <c r="A56" s="28">
        <v>49</v>
      </c>
      <c r="B56" s="42">
        <f t="shared" si="0"/>
        <v>45.948100497595675</v>
      </c>
      <c r="C56" s="42">
        <f t="shared" si="1"/>
        <v>85.007374246952821</v>
      </c>
      <c r="D56" s="28">
        <f t="shared" si="2"/>
        <v>46</v>
      </c>
      <c r="E56" s="42">
        <f t="shared" si="3"/>
        <v>85.18518518518519</v>
      </c>
    </row>
    <row r="57" spans="1:5">
      <c r="A57" s="28">
        <v>50</v>
      </c>
      <c r="B57" s="42">
        <f t="shared" si="0"/>
        <v>46.43064070258049</v>
      </c>
      <c r="C57" s="42">
        <f t="shared" si="1"/>
        <v>86.673877215509464</v>
      </c>
      <c r="D57" s="28">
        <f t="shared" si="2"/>
        <v>46</v>
      </c>
      <c r="E57" s="42">
        <f t="shared" si="3"/>
        <v>85.18518518518519</v>
      </c>
    </row>
    <row r="58" spans="1:5">
      <c r="A58" s="28">
        <v>51</v>
      </c>
      <c r="B58" s="42">
        <f t="shared" si="0"/>
        <v>46.905715813799262</v>
      </c>
      <c r="C58" s="42">
        <f t="shared" si="1"/>
        <v>88.344190966586396</v>
      </c>
      <c r="D58" s="28">
        <f t="shared" si="2"/>
        <v>47</v>
      </c>
      <c r="E58" s="42">
        <f t="shared" si="3"/>
        <v>88.679245283018872</v>
      </c>
    </row>
    <row r="59" spans="1:5">
      <c r="A59" s="28">
        <v>52</v>
      </c>
      <c r="B59" s="42">
        <f t="shared" si="0"/>
        <v>47.373553292885056</v>
      </c>
      <c r="C59" s="42">
        <f t="shared" si="1"/>
        <v>90.018529194144293</v>
      </c>
      <c r="D59" s="28">
        <f t="shared" si="2"/>
        <v>47</v>
      </c>
      <c r="E59" s="42">
        <f t="shared" si="3"/>
        <v>88.679245283018872</v>
      </c>
    </row>
    <row r="60" spans="1:5">
      <c r="A60" s="28">
        <v>53</v>
      </c>
      <c r="B60" s="42">
        <f t="shared" si="0"/>
        <v>47.834370361143186</v>
      </c>
      <c r="C60" s="42">
        <f t="shared" si="1"/>
        <v>91.697101505916862</v>
      </c>
      <c r="D60" s="28">
        <f t="shared" si="2"/>
        <v>48</v>
      </c>
      <c r="E60" s="42">
        <f t="shared" si="3"/>
        <v>92.307692307692307</v>
      </c>
    </row>
    <row r="61" spans="1:5">
      <c r="A61" s="28">
        <v>54</v>
      </c>
      <c r="B61" s="42">
        <f t="shared" si="0"/>
        <v>48.288374605167107</v>
      </c>
      <c r="C61" s="42">
        <f t="shared" si="1"/>
        <v>93.380113729691729</v>
      </c>
      <c r="D61" s="28">
        <f t="shared" si="2"/>
        <v>48</v>
      </c>
      <c r="E61" s="42">
        <f t="shared" si="3"/>
        <v>92.307692307692307</v>
      </c>
    </row>
    <row r="62" spans="1:5">
      <c r="A62" s="28">
        <v>55</v>
      </c>
      <c r="B62" s="42">
        <f t="shared" si="0"/>
        <v>48.735764538335523</v>
      </c>
      <c r="C62" s="42">
        <f t="shared" si="1"/>
        <v>95.06776820026947</v>
      </c>
      <c r="D62" s="28">
        <f t="shared" si="2"/>
        <v>49</v>
      </c>
      <c r="E62" s="42">
        <f t="shared" si="3"/>
        <v>96.078431372549019</v>
      </c>
    </row>
    <row r="63" spans="1:5">
      <c r="A63" s="28">
        <v>56</v>
      </c>
      <c r="B63" s="42">
        <f t="shared" si="0"/>
        <v>49.176730121992179</v>
      </c>
      <c r="C63" s="42">
        <f t="shared" si="1"/>
        <v>96.760264028725686</v>
      </c>
      <c r="D63" s="28">
        <f t="shared" si="2"/>
        <v>49</v>
      </c>
      <c r="E63" s="42">
        <f t="shared" si="3"/>
        <v>96.078431372549019</v>
      </c>
    </row>
    <row r="64" spans="1:5">
      <c r="A64" s="28">
        <v>57</v>
      </c>
      <c r="B64" s="42">
        <f t="shared" si="0"/>
        <v>49.611453249732975</v>
      </c>
      <c r="C64" s="42">
        <f t="shared" si="1"/>
        <v>98.457797355447781</v>
      </c>
      <c r="D64" s="28">
        <f t="shared" si="2"/>
        <v>50</v>
      </c>
      <c r="E64" s="42">
        <f t="shared" si="3"/>
        <v>100</v>
      </c>
    </row>
    <row r="65" spans="1:5">
      <c r="A65" s="28">
        <v>58</v>
      </c>
      <c r="B65" s="42">
        <f t="shared" si="0"/>
        <v>50.040108197890731</v>
      </c>
      <c r="C65" s="42">
        <f t="shared" si="1"/>
        <v>100.16056158828206</v>
      </c>
      <c r="D65" s="28">
        <f t="shared" si="2"/>
        <v>50</v>
      </c>
      <c r="E65" s="42">
        <f t="shared" si="3"/>
        <v>100</v>
      </c>
    </row>
    <row r="66" spans="1:5">
      <c r="A66" s="28">
        <v>59</v>
      </c>
      <c r="B66" s="42">
        <f t="shared" si="0"/>
        <v>50.462862045009729</v>
      </c>
      <c r="C66" s="42">
        <f t="shared" si="1"/>
        <v>101.86874762700376</v>
      </c>
      <c r="D66" s="28">
        <f t="shared" si="2"/>
        <v>50</v>
      </c>
      <c r="E66" s="42">
        <f t="shared" si="3"/>
        <v>100</v>
      </c>
    </row>
    <row r="67" spans="1:5">
      <c r="A67" s="28">
        <v>60</v>
      </c>
      <c r="B67" s="42">
        <f t="shared" si="0"/>
        <v>50.879875062836945</v>
      </c>
      <c r="C67" s="42">
        <f t="shared" si="1"/>
        <v>103.58254407521368</v>
      </c>
      <c r="D67" s="28">
        <f t="shared" si="2"/>
        <v>51</v>
      </c>
      <c r="E67" s="42">
        <f t="shared" si="3"/>
        <v>104.08163265306123</v>
      </c>
    </row>
    <row r="68" spans="1:5">
      <c r="A68" s="28">
        <v>61</v>
      </c>
      <c r="B68" s="42">
        <f t="shared" si="0"/>
        <v>51.291301081119769</v>
      </c>
      <c r="C68" s="42">
        <f t="shared" si="1"/>
        <v>105.30213744066666</v>
      </c>
      <c r="D68" s="28">
        <f t="shared" si="2"/>
        <v>51</v>
      </c>
      <c r="E68" s="42">
        <f t="shared" si="3"/>
        <v>104.08163265306123</v>
      </c>
    </row>
    <row r="69" spans="1:5">
      <c r="A69" s="28">
        <v>62</v>
      </c>
      <c r="B69" s="42">
        <f t="shared" si="0"/>
        <v>51.697287828288204</v>
      </c>
      <c r="C69" s="42">
        <f t="shared" si="1"/>
        <v>107.02771232494979</v>
      </c>
      <c r="D69" s="28">
        <f t="shared" si="2"/>
        <v>52</v>
      </c>
      <c r="E69" s="42">
        <f t="shared" si="3"/>
        <v>108.33333333333333</v>
      </c>
    </row>
    <row r="70" spans="1:5">
      <c r="A70" s="28">
        <v>63</v>
      </c>
      <c r="B70" s="42">
        <f t="shared" si="0"/>
        <v>52.097977249909526</v>
      </c>
      <c r="C70" s="42">
        <f t="shared" si="1"/>
        <v>108.75945160334828</v>
      </c>
      <c r="D70" s="28">
        <f t="shared" si="2"/>
        <v>52</v>
      </c>
      <c r="E70" s="42">
        <f t="shared" si="3"/>
        <v>108.33333333333333</v>
      </c>
    </row>
    <row r="71" spans="1:5">
      <c r="A71" s="28">
        <v>64</v>
      </c>
      <c r="B71" s="42">
        <f t="shared" si="0"/>
        <v>52.49350580663338</v>
      </c>
      <c r="C71" s="42">
        <f t="shared" si="1"/>
        <v>110.49753659566632</v>
      </c>
      <c r="D71" s="28">
        <f t="shared" si="2"/>
        <v>52</v>
      </c>
      <c r="E71" s="42">
        <f t="shared" si="3"/>
        <v>108.33333333333333</v>
      </c>
    </row>
    <row r="72" spans="1:5">
      <c r="A72" s="28">
        <v>65</v>
      </c>
      <c r="B72" s="42">
        <f t="shared" ref="B72:B135" si="4">(100/SQRT(2))*LOG10((A72+10*SQRT(2))/(10*SQRT(2)))</f>
        <v>52.884004753192201</v>
      </c>
      <c r="C72" s="42">
        <f t="shared" ref="C72:C135" si="5">B72/(100-B72)*100</f>
        <v>112.24214722870616</v>
      </c>
      <c r="D72" s="28">
        <f t="shared" ref="D72:D135" si="6">ROUND((100/SQRT(2))*LOG10((A72+10*SQRT(2))/(10*SQRT(2))), 0)</f>
        <v>53</v>
      </c>
      <c r="E72" s="42">
        <f t="shared" ref="E72:E135" si="7">D72/(100-D72)*100</f>
        <v>112.7659574468085</v>
      </c>
    </row>
    <row r="73" spans="1:5">
      <c r="A73" s="28">
        <v>66</v>
      </c>
      <c r="B73" s="42">
        <f t="shared" si="4"/>
        <v>53.269600399884297</v>
      </c>
      <c r="C73" s="42">
        <f t="shared" si="5"/>
        <v>113.99346219104962</v>
      </c>
      <c r="D73" s="28">
        <f t="shared" si="6"/>
        <v>53</v>
      </c>
      <c r="E73" s="42">
        <f t="shared" si="7"/>
        <v>112.7659574468085</v>
      </c>
    </row>
    <row r="74" spans="1:5">
      <c r="A74" s="28">
        <v>67</v>
      </c>
      <c r="B74" s="42">
        <f t="shared" si="4"/>
        <v>53.650414357843104</v>
      </c>
      <c r="C74" s="42">
        <f t="shared" si="5"/>
        <v>115.75165908073576</v>
      </c>
      <c r="D74" s="28">
        <f t="shared" si="6"/>
        <v>54</v>
      </c>
      <c r="E74" s="42">
        <f t="shared" si="7"/>
        <v>117.39130434782609</v>
      </c>
    </row>
    <row r="75" spans="1:5">
      <c r="A75" s="28">
        <v>68</v>
      </c>
      <c r="B75" s="42">
        <f t="shared" si="4"/>
        <v>54.02656376928428</v>
      </c>
      <c r="C75" s="42">
        <f t="shared" si="5"/>
        <v>117.5169145463791</v>
      </c>
      <c r="D75" s="28">
        <f t="shared" si="6"/>
        <v>54</v>
      </c>
      <c r="E75" s="42">
        <f t="shared" si="7"/>
        <v>117.39130434782609</v>
      </c>
    </row>
    <row r="76" spans="1:5">
      <c r="A76" s="28">
        <v>69</v>
      </c>
      <c r="B76" s="42">
        <f t="shared" si="4"/>
        <v>54.398161523821386</v>
      </c>
      <c r="C76" s="42">
        <f t="shared" si="5"/>
        <v>119.2894044222313</v>
      </c>
      <c r="D76" s="28">
        <f t="shared" si="6"/>
        <v>54</v>
      </c>
      <c r="E76" s="42">
        <f t="shared" si="7"/>
        <v>117.39130434782609</v>
      </c>
    </row>
    <row r="77" spans="1:5">
      <c r="A77" s="28">
        <v>70</v>
      </c>
      <c r="B77" s="42">
        <f t="shared" si="4"/>
        <v>54.765316461849579</v>
      </c>
      <c r="C77" s="42">
        <f t="shared" si="5"/>
        <v>121.06930385764969</v>
      </c>
      <c r="D77" s="28">
        <f t="shared" si="6"/>
        <v>55</v>
      </c>
      <c r="E77" s="42">
        <f t="shared" si="7"/>
        <v>122.22222222222223</v>
      </c>
    </row>
    <row r="78" spans="1:5">
      <c r="A78" s="28">
        <v>71</v>
      </c>
      <c r="B78" s="42">
        <f t="shared" si="4"/>
        <v>55.128133565914091</v>
      </c>
      <c r="C78" s="42">
        <f t="shared" si="5"/>
        <v>122.85678744140056</v>
      </c>
      <c r="D78" s="28">
        <f t="shared" si="6"/>
        <v>55</v>
      </c>
      <c r="E78" s="42">
        <f t="shared" si="7"/>
        <v>122.22222222222223</v>
      </c>
    </row>
    <row r="79" spans="1:5">
      <c r="A79" s="28">
        <v>72</v>
      </c>
      <c r="B79" s="42">
        <f t="shared" si="4"/>
        <v>55.486714140905413</v>
      </c>
      <c r="C79" s="42">
        <f t="shared" si="5"/>
        <v>124.65202932119384</v>
      </c>
      <c r="D79" s="28">
        <f t="shared" si="6"/>
        <v>55</v>
      </c>
      <c r="E79" s="42">
        <f t="shared" si="7"/>
        <v>122.22222222222223</v>
      </c>
    </row>
    <row r="80" spans="1:5">
      <c r="A80" s="28">
        <v>73</v>
      </c>
      <c r="B80" s="42">
        <f t="shared" si="4"/>
        <v>55.84115598385489</v>
      </c>
      <c r="C80" s="42">
        <f t="shared" si="5"/>
        <v>126.45520331881551</v>
      </c>
      <c r="D80" s="28">
        <f t="shared" si="6"/>
        <v>56</v>
      </c>
      <c r="E80" s="42">
        <f t="shared" si="7"/>
        <v>127.27272727272727</v>
      </c>
    </row>
    <row r="81" spans="1:5">
      <c r="A81" s="28">
        <v>74</v>
      </c>
      <c r="B81" s="42">
        <f t="shared" si="4"/>
        <v>56.191553544042854</v>
      </c>
      <c r="C81" s="42">
        <f t="shared" si="5"/>
        <v>128.26648304119863</v>
      </c>
      <c r="D81" s="28">
        <f t="shared" si="6"/>
        <v>56</v>
      </c>
      <c r="E81" s="42">
        <f t="shared" si="7"/>
        <v>127.27272727272727</v>
      </c>
    </row>
    <row r="82" spans="1:5">
      <c r="A82" s="28">
        <v>75</v>
      </c>
      <c r="B82" s="42">
        <f t="shared" si="4"/>
        <v>56.537998074074928</v>
      </c>
      <c r="C82" s="42">
        <f t="shared" si="5"/>
        <v>130.08604198774844</v>
      </c>
      <c r="D82" s="28">
        <f t="shared" si="6"/>
        <v>57</v>
      </c>
      <c r="E82" s="42">
        <f t="shared" si="7"/>
        <v>132.55813953488371</v>
      </c>
    </row>
    <row r="83" spans="1:5">
      <c r="A83" s="28">
        <v>76</v>
      </c>
      <c r="B83" s="42">
        <f t="shared" si="4"/>
        <v>56.880577772531232</v>
      </c>
      <c r="C83" s="42">
        <f t="shared" si="5"/>
        <v>131.91405365421633</v>
      </c>
      <c r="D83" s="28">
        <f t="shared" si="6"/>
        <v>57</v>
      </c>
      <c r="E83" s="42">
        <f t="shared" si="7"/>
        <v>132.55813953488371</v>
      </c>
    </row>
    <row r="84" spans="1:5">
      <c r="A84" s="28">
        <v>77</v>
      </c>
      <c r="B84" s="42">
        <f t="shared" si="4"/>
        <v>57.219377918746282</v>
      </c>
      <c r="C84" s="42">
        <f t="shared" si="5"/>
        <v>133.75069163339623</v>
      </c>
      <c r="D84" s="28">
        <f t="shared" si="6"/>
        <v>57</v>
      </c>
      <c r="E84" s="42">
        <f t="shared" si="7"/>
        <v>132.55813953488371</v>
      </c>
    </row>
    <row r="85" spans="1:5">
      <c r="A85" s="28">
        <v>78</v>
      </c>
      <c r="B85" s="42">
        <f t="shared" si="4"/>
        <v>57.554481000234787</v>
      </c>
      <c r="C85" s="42">
        <f t="shared" si="5"/>
        <v>135.59612971289889</v>
      </c>
      <c r="D85" s="28">
        <f t="shared" si="6"/>
        <v>58</v>
      </c>
      <c r="E85" s="42">
        <f t="shared" si="7"/>
        <v>138.0952380952381</v>
      </c>
    </row>
    <row r="86" spans="1:5">
      <c r="A86" s="28">
        <v>79</v>
      </c>
      <c r="B86" s="42">
        <f t="shared" si="4"/>
        <v>57.885966833239742</v>
      </c>
      <c r="C86" s="42">
        <f t="shared" si="5"/>
        <v>137.45054197024271</v>
      </c>
      <c r="D86" s="28">
        <f t="shared" si="6"/>
        <v>58</v>
      </c>
      <c r="E86" s="42">
        <f t="shared" si="7"/>
        <v>138.0952380952381</v>
      </c>
    </row>
    <row r="87" spans="1:5">
      <c r="A87" s="28">
        <v>80</v>
      </c>
      <c r="B87" s="42">
        <f t="shared" si="4"/>
        <v>58.213912676843535</v>
      </c>
      <c r="C87" s="42">
        <f t="shared" si="5"/>
        <v>139.31410286548487</v>
      </c>
      <c r="D87" s="28">
        <f t="shared" si="6"/>
        <v>58</v>
      </c>
      <c r="E87" s="42">
        <f t="shared" si="7"/>
        <v>138.0952380952381</v>
      </c>
    </row>
    <row r="88" spans="1:5">
      <c r="A88" s="28">
        <v>81</v>
      </c>
      <c r="B88" s="42">
        <f t="shared" si="4"/>
        <v>58.538393341050124</v>
      </c>
      <c r="C88" s="42">
        <f t="shared" si="5"/>
        <v>141.18698733160181</v>
      </c>
      <c r="D88" s="28">
        <f t="shared" si="6"/>
        <v>59</v>
      </c>
      <c r="E88" s="42">
        <f t="shared" si="7"/>
        <v>143.90243902439025</v>
      </c>
    </row>
    <row r="89" spans="1:5">
      <c r="A89" s="28">
        <v>82</v>
      </c>
      <c r="B89" s="42">
        <f t="shared" si="4"/>
        <v>58.859481289216575</v>
      </c>
      <c r="C89" s="42">
        <f t="shared" si="5"/>
        <v>143.06937086281511</v>
      </c>
      <c r="D89" s="28">
        <f t="shared" si="6"/>
        <v>59</v>
      </c>
      <c r="E89" s="42">
        <f t="shared" si="7"/>
        <v>143.90243902439025</v>
      </c>
    </row>
    <row r="90" spans="1:5">
      <c r="A90" s="28">
        <v>83</v>
      </c>
      <c r="B90" s="42">
        <f t="shared" si="4"/>
        <v>59.17724673518471</v>
      </c>
      <c r="C90" s="42">
        <f t="shared" si="5"/>
        <v>144.96142960104791</v>
      </c>
      <c r="D90" s="28">
        <f t="shared" si="6"/>
        <v>59</v>
      </c>
      <c r="E90" s="42">
        <f t="shared" si="7"/>
        <v>143.90243902439025</v>
      </c>
    </row>
    <row r="91" spans="1:5">
      <c r="A91" s="28">
        <v>84</v>
      </c>
      <c r="B91" s="42">
        <f t="shared" si="4"/>
        <v>59.49175773543876</v>
      </c>
      <c r="C91" s="42">
        <f t="shared" si="5"/>
        <v>146.86334042068597</v>
      </c>
      <c r="D91" s="28">
        <f t="shared" si="6"/>
        <v>59</v>
      </c>
      <c r="E91" s="42">
        <f t="shared" si="7"/>
        <v>143.90243902439025</v>
      </c>
    </row>
    <row r="92" spans="1:5">
      <c r="A92" s="28">
        <v>85</v>
      </c>
      <c r="B92" s="42">
        <f t="shared" si="4"/>
        <v>59.803080276591331</v>
      </c>
      <c r="C92" s="42">
        <f t="shared" si="5"/>
        <v>148.77528101180604</v>
      </c>
      <c r="D92" s="28">
        <f t="shared" si="6"/>
        <v>60</v>
      </c>
      <c r="E92" s="42">
        <f t="shared" si="7"/>
        <v>150</v>
      </c>
    </row>
    <row r="93" spans="1:5">
      <c r="A93" s="28">
        <v>86</v>
      </c>
      <c r="B93" s="42">
        <f t="shared" si="4"/>
        <v>60.111278358479197</v>
      </c>
      <c r="C93" s="42">
        <f t="shared" si="5"/>
        <v>150.6974299620282</v>
      </c>
      <c r="D93" s="28">
        <f t="shared" si="6"/>
        <v>60</v>
      </c>
      <c r="E93" s="42">
        <f t="shared" si="7"/>
        <v>150</v>
      </c>
    </row>
    <row r="94" spans="1:5">
      <c r="A94" s="28">
        <v>87</v>
      </c>
      <c r="B94" s="42">
        <f t="shared" si="4"/>
        <v>60.416414073130603</v>
      </c>
      <c r="C94" s="42">
        <f t="shared" si="5"/>
        <v>152.62996683713754</v>
      </c>
      <c r="D94" s="28">
        <f t="shared" si="6"/>
        <v>60</v>
      </c>
      <c r="E94" s="42">
        <f t="shared" si="7"/>
        <v>150</v>
      </c>
    </row>
    <row r="95" spans="1:5">
      <c r="A95" s="28">
        <v>88</v>
      </c>
      <c r="B95" s="42">
        <f t="shared" si="4"/>
        <v>60.718547679847781</v>
      </c>
      <c r="C95" s="42">
        <f t="shared" si="5"/>
        <v>154.57307226061465</v>
      </c>
      <c r="D95" s="28">
        <f t="shared" si="6"/>
        <v>61</v>
      </c>
      <c r="E95" s="42">
        <f t="shared" si="7"/>
        <v>156.41025641025641</v>
      </c>
    </row>
    <row r="96" spans="1:5">
      <c r="A96" s="28">
        <v>89</v>
      </c>
      <c r="B96" s="42">
        <f t="shared" si="4"/>
        <v>61.017737676631803</v>
      </c>
      <c r="C96" s="42">
        <f t="shared" si="5"/>
        <v>156.52692799220708</v>
      </c>
      <c r="D96" s="28">
        <f t="shared" si="6"/>
        <v>61</v>
      </c>
      <c r="E96" s="42">
        <f t="shared" si="7"/>
        <v>156.41025641025641</v>
      </c>
    </row>
    <row r="97" spans="1:5">
      <c r="A97" s="28">
        <v>90</v>
      </c>
      <c r="B97" s="42">
        <f t="shared" si="4"/>
        <v>61.314040868161534</v>
      </c>
      <c r="C97" s="42">
        <f t="shared" si="5"/>
        <v>158.49171700566731</v>
      </c>
      <c r="D97" s="28">
        <f t="shared" si="6"/>
        <v>61</v>
      </c>
      <c r="E97" s="42">
        <f t="shared" si="7"/>
        <v>156.41025641025641</v>
      </c>
    </row>
    <row r="98" spans="1:5">
      <c r="A98" s="28">
        <v>91</v>
      </c>
      <c r="B98" s="42">
        <f t="shared" si="4"/>
        <v>61.607512430524274</v>
      </c>
      <c r="C98" s="42">
        <f t="shared" si="5"/>
        <v>160.46762356577761</v>
      </c>
      <c r="D98" s="28">
        <f t="shared" si="6"/>
        <v>62</v>
      </c>
      <c r="E98" s="42">
        <f t="shared" si="7"/>
        <v>163.15789473684211</v>
      </c>
    </row>
    <row r="99" spans="1:5">
      <c r="A99" s="28">
        <v>92</v>
      </c>
      <c r="B99" s="42">
        <f t="shared" si="4"/>
        <v>61.898205972882543</v>
      </c>
      <c r="C99" s="42">
        <f t="shared" si="5"/>
        <v>162.45483330477541</v>
      </c>
      <c r="D99" s="28">
        <f t="shared" si="6"/>
        <v>62</v>
      </c>
      <c r="E99" s="42">
        <f t="shared" si="7"/>
        <v>163.15789473684211</v>
      </c>
    </row>
    <row r="100" spans="1:5">
      <c r="A100" s="28">
        <v>93</v>
      </c>
      <c r="B100" s="42">
        <f t="shared" si="4"/>
        <v>62.186173596249525</v>
      </c>
      <c r="C100" s="42">
        <f t="shared" si="5"/>
        <v>164.45353329829041</v>
      </c>
      <c r="D100" s="28">
        <f t="shared" si="6"/>
        <v>62</v>
      </c>
      <c r="E100" s="42">
        <f t="shared" si="7"/>
        <v>163.15789473684211</v>
      </c>
    </row>
    <row r="101" spans="1:5">
      <c r="A101" s="28">
        <v>94</v>
      </c>
      <c r="B101" s="42">
        <f t="shared" si="4"/>
        <v>62.471465949534149</v>
      </c>
      <c r="C101" s="42">
        <f t="shared" si="5"/>
        <v>166.46391214089718</v>
      </c>
      <c r="D101" s="28">
        <f t="shared" si="6"/>
        <v>62</v>
      </c>
      <c r="E101" s="42">
        <f t="shared" si="7"/>
        <v>163.15789473684211</v>
      </c>
    </row>
    <row r="102" spans="1:5">
      <c r="A102" s="28">
        <v>95</v>
      </c>
      <c r="B102" s="42">
        <f t="shared" si="4"/>
        <v>62.754132283006818</v>
      </c>
      <c r="C102" s="42">
        <f t="shared" si="5"/>
        <v>168.48616002138584</v>
      </c>
      <c r="D102" s="28">
        <f t="shared" si="6"/>
        <v>63</v>
      </c>
      <c r="E102" s="42">
        <f t="shared" si="7"/>
        <v>170.27027027027026</v>
      </c>
    </row>
    <row r="103" spans="1:5">
      <c r="A103" s="28">
        <v>96</v>
      </c>
      <c r="B103" s="42">
        <f t="shared" si="4"/>
        <v>63.034220499326743</v>
      </c>
      <c r="C103" s="42">
        <f t="shared" si="5"/>
        <v>170.52046879784774</v>
      </c>
      <c r="D103" s="28">
        <f t="shared" si="6"/>
        <v>63</v>
      </c>
      <c r="E103" s="42">
        <f t="shared" si="7"/>
        <v>170.27027027027026</v>
      </c>
    </row>
    <row r="104" spans="1:5">
      <c r="A104" s="28">
        <v>97</v>
      </c>
      <c r="B104" s="42">
        <f t="shared" si="4"/>
        <v>63.31177720226335</v>
      </c>
      <c r="C104" s="42">
        <f t="shared" si="5"/>
        <v>172.56703207267142</v>
      </c>
      <c r="D104" s="28">
        <f t="shared" si="6"/>
        <v>63</v>
      </c>
      <c r="E104" s="42">
        <f t="shared" si="7"/>
        <v>170.27027027027026</v>
      </c>
    </row>
    <row r="105" spans="1:5">
      <c r="A105" s="28">
        <v>98</v>
      </c>
      <c r="B105" s="42">
        <f t="shared" si="4"/>
        <v>63.58684774323541</v>
      </c>
      <c r="C105" s="42">
        <f t="shared" si="5"/>
        <v>174.62604526753839</v>
      </c>
      <c r="D105" s="28">
        <f t="shared" si="6"/>
        <v>64</v>
      </c>
      <c r="E105" s="42">
        <f t="shared" si="7"/>
        <v>177.77777777777777</v>
      </c>
    </row>
    <row r="106" spans="1:5">
      <c r="A106" s="28">
        <v>99</v>
      </c>
      <c r="B106" s="42">
        <f t="shared" si="4"/>
        <v>63.859476265784387</v>
      </c>
      <c r="C106" s="42">
        <f t="shared" si="5"/>
        <v>176.69770569850979</v>
      </c>
      <c r="D106" s="28">
        <f t="shared" si="6"/>
        <v>64</v>
      </c>
      <c r="E106" s="42">
        <f t="shared" si="7"/>
        <v>177.77777777777777</v>
      </c>
    </row>
    <row r="107" spans="1:5">
      <c r="A107" s="28">
        <v>100</v>
      </c>
      <c r="B107" s="42">
        <f t="shared" si="4"/>
        <v>64.129705748090956</v>
      </c>
      <c r="C107" s="42">
        <f t="shared" si="5"/>
        <v>178.78221265128852</v>
      </c>
      <c r="D107" s="28">
        <f t="shared" si="6"/>
        <v>64</v>
      </c>
      <c r="E107" s="42">
        <f t="shared" si="7"/>
        <v>177.77777777777777</v>
      </c>
    </row>
    <row r="108" spans="1:5">
      <c r="A108" s="28">
        <v>101</v>
      </c>
      <c r="B108" s="42">
        <f t="shared" si="4"/>
        <v>64.397578043637139</v>
      </c>
      <c r="C108" s="42">
        <f t="shared" si="5"/>
        <v>180.87976745674183</v>
      </c>
      <c r="D108" s="28">
        <f t="shared" si="6"/>
        <v>64</v>
      </c>
      <c r="E108" s="42">
        <f t="shared" si="7"/>
        <v>177.77777777777777</v>
      </c>
    </row>
    <row r="109" spans="1:5">
      <c r="A109" s="28">
        <v>102</v>
      </c>
      <c r="B109" s="42">
        <f t="shared" si="4"/>
        <v>64.663133920110283</v>
      </c>
      <c r="C109" s="42">
        <f t="shared" si="5"/>
        <v>182.9905735667663</v>
      </c>
      <c r="D109" s="28">
        <f t="shared" si="6"/>
        <v>65</v>
      </c>
      <c r="E109" s="42">
        <f t="shared" si="7"/>
        <v>185.71428571428572</v>
      </c>
    </row>
    <row r="110" spans="1:5">
      <c r="A110" s="28">
        <v>103</v>
      </c>
      <c r="B110" s="42">
        <f t="shared" si="4"/>
        <v>64.926413096639237</v>
      </c>
      <c r="C110" s="42">
        <f t="shared" si="5"/>
        <v>185.11483663057561</v>
      </c>
      <c r="D110" s="28">
        <f t="shared" si="6"/>
        <v>65</v>
      </c>
      <c r="E110" s="42">
        <f t="shared" si="7"/>
        <v>185.71428571428572</v>
      </c>
    </row>
    <row r="111" spans="1:5">
      <c r="A111" s="28">
        <v>104</v>
      </c>
      <c r="B111" s="42">
        <f t="shared" si="4"/>
        <v>65.187454279448005</v>
      </c>
      <c r="C111" s="42">
        <f t="shared" si="5"/>
        <v>187.25276457149133</v>
      </c>
      <c r="D111" s="28">
        <f t="shared" si="6"/>
        <v>65</v>
      </c>
      <c r="E111" s="42">
        <f t="shared" si="7"/>
        <v>185.71428571428572</v>
      </c>
    </row>
    <row r="112" spans="1:5">
      <c r="A112" s="28">
        <v>105</v>
      </c>
      <c r="B112" s="42">
        <f t="shared" si="4"/>
        <v>65.446295196006645</v>
      </c>
      <c r="C112" s="42">
        <f t="shared" si="5"/>
        <v>189.40456766431322</v>
      </c>
      <c r="D112" s="28">
        <f t="shared" si="6"/>
        <v>65</v>
      </c>
      <c r="E112" s="42">
        <f t="shared" si="7"/>
        <v>185.71428571428572</v>
      </c>
    </row>
    <row r="113" spans="1:5">
      <c r="A113" s="28">
        <v>106</v>
      </c>
      <c r="B113" s="42">
        <f t="shared" si="4"/>
        <v>65.702972627754932</v>
      </c>
      <c r="C113" s="42">
        <f t="shared" si="5"/>
        <v>191.57045861334672</v>
      </c>
      <c r="D113" s="28">
        <f t="shared" si="6"/>
        <v>66</v>
      </c>
      <c r="E113" s="42">
        <f t="shared" si="7"/>
        <v>194.11764705882354</v>
      </c>
    </row>
    <row r="114" spans="1:5">
      <c r="A114" s="28">
        <v>107</v>
      </c>
      <c r="B114" s="42">
        <f t="shared" si="4"/>
        <v>65.957522441469848</v>
      </c>
      <c r="C114" s="42">
        <f t="shared" si="5"/>
        <v>193.7506526311644</v>
      </c>
      <c r="D114" s="28">
        <f t="shared" si="6"/>
        <v>66</v>
      </c>
      <c r="E114" s="42">
        <f t="shared" si="7"/>
        <v>194.11764705882354</v>
      </c>
    </row>
    <row r="115" spans="1:5">
      <c r="A115" s="28">
        <v>108</v>
      </c>
      <c r="B115" s="42">
        <f t="shared" si="4"/>
        <v>66.209979619343528</v>
      </c>
      <c r="C115" s="42">
        <f t="shared" si="5"/>
        <v>195.94536751817492</v>
      </c>
      <c r="D115" s="28">
        <f t="shared" si="6"/>
        <v>66</v>
      </c>
      <c r="E115" s="42">
        <f t="shared" si="7"/>
        <v>194.11764705882354</v>
      </c>
    </row>
    <row r="116" spans="1:5">
      <c r="A116" s="28">
        <v>109</v>
      </c>
      <c r="B116" s="42">
        <f t="shared" si="4"/>
        <v>66.460378287835056</v>
      </c>
      <c r="C116" s="42">
        <f t="shared" si="5"/>
        <v>198.15482374307649</v>
      </c>
      <c r="D116" s="28">
        <f t="shared" si="6"/>
        <v>66</v>
      </c>
      <c r="E116" s="42">
        <f t="shared" si="7"/>
        <v>194.11764705882354</v>
      </c>
    </row>
    <row r="117" spans="1:5">
      <c r="A117" s="28">
        <v>110</v>
      </c>
      <c r="B117" s="42">
        <f t="shared" si="4"/>
        <v>66.708751745355386</v>
      </c>
      <c r="C117" s="42">
        <f t="shared" si="5"/>
        <v>200.37924452426785</v>
      </c>
      <c r="D117" s="28">
        <f t="shared" si="6"/>
        <v>67</v>
      </c>
      <c r="E117" s="42">
        <f t="shared" si="7"/>
        <v>203.03030303030303</v>
      </c>
    </row>
    <row r="118" spans="1:5">
      <c r="A118" s="28">
        <v>111</v>
      </c>
      <c r="B118" s="42">
        <f t="shared" si="4"/>
        <v>66.955132488841727</v>
      </c>
      <c r="C118" s="42">
        <f t="shared" si="5"/>
        <v>202.61885591229247</v>
      </c>
      <c r="D118" s="28">
        <f t="shared" si="6"/>
        <v>67</v>
      </c>
      <c r="E118" s="42">
        <f t="shared" si="7"/>
        <v>203.03030303030303</v>
      </c>
    </row>
    <row r="119" spans="1:5">
      <c r="A119" s="28">
        <v>112</v>
      </c>
      <c r="B119" s="42">
        <f t="shared" si="4"/>
        <v>67.199552239274254</v>
      </c>
      <c r="C119" s="42">
        <f t="shared" si="5"/>
        <v>204.87388687338881</v>
      </c>
      <c r="D119" s="28">
        <f t="shared" si="6"/>
        <v>67</v>
      </c>
      <c r="E119" s="42">
        <f t="shared" si="7"/>
        <v>203.03030303030303</v>
      </c>
    </row>
    <row r="120" spans="1:5">
      <c r="A120" s="28">
        <v>113</v>
      </c>
      <c r="B120" s="42">
        <f t="shared" si="4"/>
        <v>67.442041966185442</v>
      </c>
      <c r="C120" s="42">
        <f t="shared" si="5"/>
        <v>207.1445693742231</v>
      </c>
      <c r="D120" s="28">
        <f t="shared" si="6"/>
        <v>67</v>
      </c>
      <c r="E120" s="42">
        <f t="shared" si="7"/>
        <v>203.03030303030303</v>
      </c>
    </row>
    <row r="121" spans="1:5">
      <c r="A121" s="28">
        <v>114</v>
      </c>
      <c r="B121" s="42">
        <f t="shared" si="4"/>
        <v>67.682631911209285</v>
      </c>
      <c r="C121" s="42">
        <f t="shared" si="5"/>
        <v>209.43113846787855</v>
      </c>
      <c r="D121" s="28">
        <f t="shared" si="6"/>
        <v>68</v>
      </c>
      <c r="E121" s="42">
        <f t="shared" si="7"/>
        <v>212.5</v>
      </c>
    </row>
    <row r="122" spans="1:5">
      <c r="A122" s="28">
        <v>115</v>
      </c>
      <c r="B122" s="42">
        <f t="shared" si="4"/>
        <v>67.921351610715064</v>
      </c>
      <c r="C122" s="42">
        <f t="shared" si="5"/>
        <v>211.73383238117501</v>
      </c>
      <c r="D122" s="28">
        <f t="shared" si="6"/>
        <v>68</v>
      </c>
      <c r="E122" s="42">
        <f t="shared" si="7"/>
        <v>212.5</v>
      </c>
    </row>
    <row r="123" spans="1:5">
      <c r="A123" s="28">
        <v>116</v>
      </c>
      <c r="B123" s="42">
        <f t="shared" si="4"/>
        <v>68.158229917568349</v>
      </c>
      <c r="C123" s="42">
        <f t="shared" si="5"/>
        <v>214.05289260339805</v>
      </c>
      <c r="D123" s="28">
        <f t="shared" si="6"/>
        <v>68</v>
      </c>
      <c r="E123" s="42">
        <f t="shared" si="7"/>
        <v>212.5</v>
      </c>
    </row>
    <row r="124" spans="1:5">
      <c r="A124" s="28">
        <v>117</v>
      </c>
      <c r="B124" s="42">
        <f t="shared" si="4"/>
        <v>68.393295022059007</v>
      </c>
      <c r="C124" s="42">
        <f t="shared" si="5"/>
        <v>216.38856397651125</v>
      </c>
      <c r="D124" s="28">
        <f t="shared" si="6"/>
        <v>68</v>
      </c>
      <c r="E124" s="42">
        <f t="shared" si="7"/>
        <v>212.5</v>
      </c>
    </row>
    <row r="125" spans="1:5">
      <c r="A125" s="28">
        <v>118</v>
      </c>
      <c r="B125" s="42">
        <f t="shared" si="4"/>
        <v>68.626574472034264</v>
      </c>
      <c r="C125" s="42">
        <f t="shared" si="5"/>
        <v>218.74109478692949</v>
      </c>
      <c r="D125" s="28">
        <f t="shared" si="6"/>
        <v>69</v>
      </c>
      <c r="E125" s="42">
        <f t="shared" si="7"/>
        <v>222.58064516129031</v>
      </c>
    </row>
    <row r="126" spans="1:5">
      <c r="A126" s="28">
        <v>119</v>
      </c>
      <c r="B126" s="42">
        <f t="shared" si="4"/>
        <v>68.858095192272941</v>
      </c>
      <c r="C126" s="42">
        <f t="shared" si="5"/>
        <v>221.11073685893354</v>
      </c>
      <c r="D126" s="28">
        <f t="shared" si="6"/>
        <v>69</v>
      </c>
      <c r="E126" s="42">
        <f t="shared" si="7"/>
        <v>222.58064516129031</v>
      </c>
    </row>
    <row r="127" spans="1:5">
      <c r="A127" s="28">
        <v>120</v>
      </c>
      <c r="B127" s="42">
        <f t="shared" si="4"/>
        <v>69.087883503134776</v>
      </c>
      <c r="C127" s="42">
        <f t="shared" si="5"/>
        <v>223.49774564980348</v>
      </c>
      <c r="D127" s="28">
        <f t="shared" si="6"/>
        <v>69</v>
      </c>
      <c r="E127" s="42">
        <f t="shared" si="7"/>
        <v>222.58064516129031</v>
      </c>
    </row>
    <row r="128" spans="1:5">
      <c r="A128" s="28">
        <v>121</v>
      </c>
      <c r="B128" s="42">
        <f t="shared" si="4"/>
        <v>69.315965138517086</v>
      </c>
      <c r="C128" s="42">
        <f t="shared" si="5"/>
        <v>225.90238034675193</v>
      </c>
      <c r="D128" s="28">
        <f t="shared" si="6"/>
        <v>69</v>
      </c>
      <c r="E128" s="42">
        <f t="shared" si="7"/>
        <v>222.58064516129031</v>
      </c>
    </row>
    <row r="129" spans="1:5">
      <c r="A129" s="28">
        <v>122</v>
      </c>
      <c r="B129" s="42">
        <f t="shared" si="4"/>
        <v>69.542365263149648</v>
      </c>
      <c r="C129" s="42">
        <f t="shared" si="5"/>
        <v>228.32490396574073</v>
      </c>
      <c r="D129" s="28">
        <f t="shared" si="6"/>
        <v>70</v>
      </c>
      <c r="E129" s="42">
        <f t="shared" si="7"/>
        <v>233.33333333333334</v>
      </c>
    </row>
    <row r="130" spans="1:5">
      <c r="A130" s="28">
        <v>123</v>
      </c>
      <c r="B130" s="42">
        <f t="shared" si="4"/>
        <v>69.767108489256543</v>
      </c>
      <c r="C130" s="42">
        <f t="shared" si="5"/>
        <v>230.76558345226209</v>
      </c>
      <c r="D130" s="28">
        <f t="shared" si="6"/>
        <v>70</v>
      </c>
      <c r="E130" s="42">
        <f t="shared" si="7"/>
        <v>233.33333333333334</v>
      </c>
    </row>
    <row r="131" spans="1:5">
      <c r="A131" s="28">
        <v>124</v>
      </c>
      <c r="B131" s="42">
        <f t="shared" si="4"/>
        <v>69.990218892612873</v>
      </c>
      <c r="C131" s="42">
        <f t="shared" si="5"/>
        <v>233.22468978417263</v>
      </c>
      <c r="D131" s="28">
        <f t="shared" si="6"/>
        <v>70</v>
      </c>
      <c r="E131" s="42">
        <f t="shared" si="7"/>
        <v>233.33333333333334</v>
      </c>
    </row>
    <row r="132" spans="1:5">
      <c r="A132" s="28">
        <v>125</v>
      </c>
      <c r="B132" s="42">
        <f t="shared" si="4"/>
        <v>70.211720028022327</v>
      </c>
      <c r="C132" s="42">
        <f t="shared" si="5"/>
        <v>235.70249807666522</v>
      </c>
      <c r="D132" s="28">
        <f t="shared" si="6"/>
        <v>70</v>
      </c>
      <c r="E132" s="42">
        <f t="shared" si="7"/>
        <v>233.33333333333334</v>
      </c>
    </row>
    <row r="133" spans="1:5">
      <c r="A133" s="28">
        <v>126</v>
      </c>
      <c r="B133" s="42">
        <f t="shared" si="4"/>
        <v>70.431634944240486</v>
      </c>
      <c r="C133" s="42">
        <f t="shared" si="5"/>
        <v>238.19928768946718</v>
      </c>
      <c r="D133" s="28">
        <f t="shared" si="6"/>
        <v>70</v>
      </c>
      <c r="E133" s="42">
        <f t="shared" si="7"/>
        <v>233.33333333333334</v>
      </c>
    </row>
    <row r="134" spans="1:5">
      <c r="A134" s="28">
        <v>127</v>
      </c>
      <c r="B134" s="42">
        <f t="shared" si="4"/>
        <v>70.649986198367728</v>
      </c>
      <c r="C134" s="42">
        <f t="shared" si="5"/>
        <v>240.71534233635896</v>
      </c>
      <c r="D134" s="28">
        <f t="shared" si="6"/>
        <v>71</v>
      </c>
      <c r="E134" s="42">
        <f t="shared" si="7"/>
        <v>244.82758620689654</v>
      </c>
    </row>
    <row r="135" spans="1:5">
      <c r="A135" s="28">
        <v>128</v>
      </c>
      <c r="B135" s="42">
        <f t="shared" si="4"/>
        <v>70.866795869733892</v>
      </c>
      <c r="C135" s="42">
        <f t="shared" si="5"/>
        <v>243.25095019710275</v>
      </c>
      <c r="D135" s="28">
        <f t="shared" si="6"/>
        <v>71</v>
      </c>
      <c r="E135" s="42">
        <f t="shared" si="7"/>
        <v>244.82758620689654</v>
      </c>
    </row>
    <row r="136" spans="1:5">
      <c r="A136" s="28">
        <v>129</v>
      </c>
      <c r="B136" s="42">
        <f t="shared" ref="B136:B199" si="8">(100/SQRT(2))*LOG10((A136+10*SQRT(2))/(10*SQRT(2)))</f>
        <v>71.082085573296268</v>
      </c>
      <c r="C136" s="42">
        <f t="shared" ref="C136:C199" si="9">B136/(100-B136)*100</f>
        <v>245.80640403187854</v>
      </c>
      <c r="D136" s="28">
        <f t="shared" ref="D136:D199" si="10">ROUND((100/SQRT(2))*LOG10((A136+10*SQRT(2))/(10*SQRT(2))), 0)</f>
        <v>71</v>
      </c>
      <c r="E136" s="42">
        <f t="shared" ref="E136:E199" si="11">D136/(100-D136)*100</f>
        <v>244.82758620689654</v>
      </c>
    </row>
    <row r="137" spans="1:5">
      <c r="A137" s="28">
        <v>130</v>
      </c>
      <c r="B137" s="42">
        <f t="shared" si="8"/>
        <v>71.295876472571351</v>
      </c>
      <c r="C137" s="42">
        <f t="shared" si="9"/>
        <v>248.38200129832745</v>
      </c>
      <c r="D137" s="28">
        <f t="shared" si="10"/>
        <v>71</v>
      </c>
      <c r="E137" s="42">
        <f t="shared" si="11"/>
        <v>244.82758620689654</v>
      </c>
    </row>
    <row r="138" spans="1:5">
      <c r="A138" s="28">
        <v>131</v>
      </c>
      <c r="B138" s="42">
        <f t="shared" si="8"/>
        <v>71.508189292119297</v>
      </c>
      <c r="C138" s="42">
        <f t="shared" si="9"/>
        <v>250.97804427129816</v>
      </c>
      <c r="D138" s="28">
        <f t="shared" si="10"/>
        <v>72</v>
      </c>
      <c r="E138" s="42">
        <f t="shared" si="11"/>
        <v>257.14285714285717</v>
      </c>
    </row>
    <row r="139" spans="1:5">
      <c r="A139" s="28">
        <v>132</v>
      </c>
      <c r="B139" s="42">
        <f t="shared" si="8"/>
        <v>71.719044329600038</v>
      </c>
      <c r="C139" s="42">
        <f t="shared" si="9"/>
        <v>253.59484016540574</v>
      </c>
      <c r="D139" s="28">
        <f t="shared" si="10"/>
        <v>72</v>
      </c>
      <c r="E139" s="42">
        <f t="shared" si="11"/>
        <v>257.14285714285717</v>
      </c>
    </row>
    <row r="140" spans="1:5">
      <c r="A140" s="28">
        <v>133</v>
      </c>
      <c r="B140" s="42">
        <f t="shared" si="8"/>
        <v>71.928461467418117</v>
      </c>
      <c r="C140" s="42">
        <f t="shared" si="9"/>
        <v>256.23270126050511</v>
      </c>
      <c r="D140" s="28">
        <f t="shared" si="10"/>
        <v>72</v>
      </c>
      <c r="E140" s="42">
        <f t="shared" si="11"/>
        <v>257.14285714285717</v>
      </c>
    </row>
    <row r="141" spans="1:5">
      <c r="A141" s="28">
        <v>134</v>
      </c>
      <c r="B141" s="42">
        <f t="shared" si="8"/>
        <v>72.13646018397327</v>
      </c>
      <c r="C141" s="42">
        <f t="shared" si="9"/>
        <v>258.89194503019087</v>
      </c>
      <c r="D141" s="28">
        <f t="shared" si="10"/>
        <v>72</v>
      </c>
      <c r="E141" s="42">
        <f t="shared" si="11"/>
        <v>257.14285714285717</v>
      </c>
    </row>
    <row r="142" spans="1:5">
      <c r="A142" s="28">
        <v>135</v>
      </c>
      <c r="B142" s="42">
        <f t="shared" si="8"/>
        <v>72.343059564532453</v>
      </c>
      <c r="C142" s="42">
        <f t="shared" si="9"/>
        <v>261.57289427343511</v>
      </c>
      <c r="D142" s="28">
        <f t="shared" si="10"/>
        <v>72</v>
      </c>
      <c r="E142" s="42">
        <f t="shared" si="11"/>
        <v>257.14285714285717</v>
      </c>
    </row>
    <row r="143" spans="1:5">
      <c r="A143" s="28">
        <v>136</v>
      </c>
      <c r="B143" s="42">
        <f t="shared" si="8"/>
        <v>72.548278311738756</v>
      </c>
      <c r="C143" s="42">
        <f t="shared" si="9"/>
        <v>264.27587724948216</v>
      </c>
      <c r="D143" s="28">
        <f t="shared" si="10"/>
        <v>73</v>
      </c>
      <c r="E143" s="42">
        <f t="shared" si="11"/>
        <v>270.37037037037038</v>
      </c>
    </row>
    <row r="144" spans="1:5">
      <c r="A144" s="28">
        <v>137</v>
      </c>
      <c r="B144" s="42">
        <f t="shared" si="8"/>
        <v>72.75213475577128</v>
      </c>
      <c r="C144" s="42">
        <f t="shared" si="9"/>
        <v>267.00122781611549</v>
      </c>
      <c r="D144" s="28">
        <f t="shared" si="10"/>
        <v>73</v>
      </c>
      <c r="E144" s="42">
        <f t="shared" si="11"/>
        <v>270.37037037037038</v>
      </c>
    </row>
    <row r="145" spans="1:5">
      <c r="A145" s="28">
        <v>138</v>
      </c>
      <c r="B145" s="42">
        <f t="shared" si="8"/>
        <v>72.954646864170215</v>
      </c>
      <c r="C145" s="42">
        <f t="shared" si="9"/>
        <v>269.74928557142641</v>
      </c>
      <c r="D145" s="28">
        <f t="shared" si="10"/>
        <v>73</v>
      </c>
      <c r="E145" s="42">
        <f t="shared" si="11"/>
        <v>270.37037037037038</v>
      </c>
    </row>
    <row r="146" spans="1:5">
      <c r="A146" s="28">
        <v>139</v>
      </c>
      <c r="B146" s="42">
        <f t="shared" si="8"/>
        <v>73.155832251340001</v>
      </c>
      <c r="C146" s="42">
        <f t="shared" si="9"/>
        <v>272.52039599920835</v>
      </c>
      <c r="D146" s="28">
        <f t="shared" si="10"/>
        <v>73</v>
      </c>
      <c r="E146" s="42">
        <f t="shared" si="11"/>
        <v>270.37037037037038</v>
      </c>
    </row>
    <row r="147" spans="1:5">
      <c r="A147" s="28">
        <v>140</v>
      </c>
      <c r="B147" s="42">
        <f t="shared" si="8"/>
        <v>73.355708187743147</v>
      </c>
      <c r="C147" s="42">
        <f t="shared" si="9"/>
        <v>275.3149106181092</v>
      </c>
      <c r="D147" s="28">
        <f t="shared" si="10"/>
        <v>73</v>
      </c>
      <c r="E147" s="42">
        <f t="shared" si="11"/>
        <v>270.37037037037038</v>
      </c>
    </row>
    <row r="148" spans="1:5">
      <c r="A148" s="28">
        <v>141</v>
      </c>
      <c r="B148" s="42">
        <f t="shared" si="8"/>
        <v>73.554291608796888</v>
      </c>
      <c r="C148" s="42">
        <f t="shared" si="9"/>
        <v>278.13318713468061</v>
      </c>
      <c r="D148" s="28">
        <f t="shared" si="10"/>
        <v>74</v>
      </c>
      <c r="E148" s="42">
        <f t="shared" si="11"/>
        <v>284.61538461538464</v>
      </c>
    </row>
    <row r="149" spans="1:5">
      <c r="A149" s="28">
        <v>142</v>
      </c>
      <c r="B149" s="42">
        <f t="shared" si="8"/>
        <v>73.751599123484013</v>
      </c>
      <c r="C149" s="42">
        <f t="shared" si="9"/>
        <v>280.97558960046342</v>
      </c>
      <c r="D149" s="28">
        <f t="shared" si="10"/>
        <v>74</v>
      </c>
      <c r="E149" s="42">
        <f t="shared" si="11"/>
        <v>284.61538461538464</v>
      </c>
    </row>
    <row r="150" spans="1:5">
      <c r="A150" s="28">
        <v>143</v>
      </c>
      <c r="B150" s="42">
        <f t="shared" si="8"/>
        <v>73.947647022688784</v>
      </c>
      <c r="C150" s="42">
        <f t="shared" si="9"/>
        <v>283.84248857325554</v>
      </c>
      <c r="D150" s="28">
        <f t="shared" si="10"/>
        <v>74</v>
      </c>
      <c r="E150" s="42">
        <f t="shared" si="11"/>
        <v>284.61538461538464</v>
      </c>
    </row>
    <row r="151" spans="1:5">
      <c r="A151" s="28">
        <v>144</v>
      </c>
      <c r="B151" s="42">
        <f t="shared" si="8"/>
        <v>74.142451287268457</v>
      </c>
      <c r="C151" s="42">
        <f t="shared" si="9"/>
        <v>286.73426128271302</v>
      </c>
      <c r="D151" s="28">
        <f t="shared" si="10"/>
        <v>74</v>
      </c>
      <c r="E151" s="42">
        <f t="shared" si="11"/>
        <v>284.61538461538464</v>
      </c>
    </row>
    <row r="152" spans="1:5">
      <c r="A152" s="28">
        <v>145</v>
      </c>
      <c r="B152" s="42">
        <f t="shared" si="8"/>
        <v>74.336027595870519</v>
      </c>
      <c r="C152" s="42">
        <f t="shared" si="9"/>
        <v>289.65129180044403</v>
      </c>
      <c r="D152" s="28">
        <f t="shared" si="10"/>
        <v>74</v>
      </c>
      <c r="E152" s="42">
        <f t="shared" si="11"/>
        <v>284.61538461538464</v>
      </c>
    </row>
    <row r="153" spans="1:5">
      <c r="A153" s="28">
        <v>146</v>
      </c>
      <c r="B153" s="42">
        <f t="shared" si="8"/>
        <v>74.528391332504867</v>
      </c>
      <c r="C153" s="42">
        <f t="shared" si="9"/>
        <v>292.59397121475155</v>
      </c>
      <c r="D153" s="28">
        <f t="shared" si="10"/>
        <v>75</v>
      </c>
      <c r="E153" s="42">
        <f t="shared" si="11"/>
        <v>300</v>
      </c>
    </row>
    <row r="154" spans="1:5">
      <c r="A154" s="28">
        <v>147</v>
      </c>
      <c r="B154" s="42">
        <f t="shared" si="8"/>
        <v>74.719557593880538</v>
      </c>
      <c r="C154" s="42">
        <f t="shared" si="9"/>
        <v>295.56269781020006</v>
      </c>
      <c r="D154" s="28">
        <f t="shared" si="10"/>
        <v>75</v>
      </c>
      <c r="E154" s="42">
        <f t="shared" si="11"/>
        <v>300</v>
      </c>
    </row>
    <row r="155" spans="1:5">
      <c r="A155" s="28">
        <v>148</v>
      </c>
      <c r="B155" s="42">
        <f t="shared" si="8"/>
        <v>74.909541196515292</v>
      </c>
      <c r="C155" s="42">
        <f t="shared" si="9"/>
        <v>298.55787725217453</v>
      </c>
      <c r="D155" s="28">
        <f t="shared" si="10"/>
        <v>75</v>
      </c>
      <c r="E155" s="42">
        <f t="shared" si="11"/>
        <v>300</v>
      </c>
    </row>
    <row r="156" spans="1:5">
      <c r="A156" s="28">
        <v>149</v>
      </c>
      <c r="B156" s="42">
        <f t="shared" si="8"/>
        <v>75.09835668362679</v>
      </c>
      <c r="C156" s="42">
        <f t="shared" si="9"/>
        <v>301.5799227766164</v>
      </c>
      <c r="D156" s="28">
        <f t="shared" si="10"/>
        <v>75</v>
      </c>
      <c r="E156" s="42">
        <f t="shared" si="11"/>
        <v>300</v>
      </c>
    </row>
    <row r="157" spans="1:5">
      <c r="A157" s="28">
        <v>150</v>
      </c>
      <c r="B157" s="42">
        <f t="shared" si="8"/>
        <v>75.28601833181304</v>
      </c>
      <c r="C157" s="42">
        <f t="shared" si="9"/>
        <v>304.62925538512013</v>
      </c>
      <c r="D157" s="28">
        <f t="shared" si="10"/>
        <v>75</v>
      </c>
      <c r="E157" s="42">
        <f t="shared" si="11"/>
        <v>300</v>
      </c>
    </row>
    <row r="158" spans="1:5">
      <c r="A158" s="28">
        <v>151</v>
      </c>
      <c r="B158" s="42">
        <f t="shared" si="8"/>
        <v>75.472540157530148</v>
      </c>
      <c r="C158" s="42">
        <f t="shared" si="9"/>
        <v>307.70630404558949</v>
      </c>
      <c r="D158" s="28">
        <f t="shared" si="10"/>
        <v>75</v>
      </c>
      <c r="E158" s="42">
        <f t="shared" si="11"/>
        <v>300</v>
      </c>
    </row>
    <row r="159" spans="1:5">
      <c r="A159" s="28">
        <v>152</v>
      </c>
      <c r="B159" s="42">
        <f t="shared" si="8"/>
        <v>75.657935923374382</v>
      </c>
      <c r="C159" s="42">
        <f t="shared" si="9"/>
        <v>310.81150589864995</v>
      </c>
      <c r="D159" s="28">
        <f t="shared" si="10"/>
        <v>76</v>
      </c>
      <c r="E159" s="42">
        <f t="shared" si="11"/>
        <v>316.66666666666663</v>
      </c>
    </row>
    <row r="160" spans="1:5">
      <c r="A160" s="28">
        <v>153</v>
      </c>
      <c r="B160" s="42">
        <f t="shared" si="8"/>
        <v>75.842219144175758</v>
      </c>
      <c r="C160" s="42">
        <f t="shared" si="9"/>
        <v>313.9453064700304</v>
      </c>
      <c r="D160" s="28">
        <f t="shared" si="10"/>
        <v>76</v>
      </c>
      <c r="E160" s="42">
        <f t="shared" si="11"/>
        <v>316.66666666666663</v>
      </c>
    </row>
    <row r="161" spans="1:5">
      <c r="A161" s="28">
        <v>154</v>
      </c>
      <c r="B161" s="42">
        <f t="shared" si="8"/>
        <v>76.025403092910082</v>
      </c>
      <c r="C161" s="42">
        <f t="shared" si="9"/>
        <v>317.10815988913407</v>
      </c>
      <c r="D161" s="28">
        <f t="shared" si="10"/>
        <v>76</v>
      </c>
      <c r="E161" s="42">
        <f t="shared" si="11"/>
        <v>316.66666666666663</v>
      </c>
    </row>
    <row r="162" spans="1:5">
      <c r="A162" s="28">
        <v>155</v>
      </c>
      <c r="B162" s="42">
        <f t="shared" si="8"/>
        <v>76.207500806435306</v>
      </c>
      <c r="C162" s="42">
        <f t="shared" si="9"/>
        <v>320.3005291140143</v>
      </c>
      <c r="D162" s="28">
        <f t="shared" si="10"/>
        <v>76</v>
      </c>
      <c r="E162" s="42">
        <f t="shared" si="11"/>
        <v>316.66666666666663</v>
      </c>
    </row>
    <row r="163" spans="1:5">
      <c r="A163" s="28">
        <v>156</v>
      </c>
      <c r="B163" s="42">
        <f t="shared" si="8"/>
        <v>76.38852509105925</v>
      </c>
      <c r="C163" s="42">
        <f t="shared" si="9"/>
        <v>323.5228861630066</v>
      </c>
      <c r="D163" s="28">
        <f t="shared" si="10"/>
        <v>76</v>
      </c>
      <c r="E163" s="42">
        <f t="shared" si="11"/>
        <v>316.66666666666663</v>
      </c>
    </row>
    <row r="164" spans="1:5">
      <c r="A164" s="28">
        <v>157</v>
      </c>
      <c r="B164" s="42">
        <f t="shared" si="8"/>
        <v>76.568488527943842</v>
      </c>
      <c r="C164" s="42">
        <f t="shared" si="9"/>
        <v>326.77571235324507</v>
      </c>
      <c r="D164" s="28">
        <f t="shared" si="10"/>
        <v>77</v>
      </c>
      <c r="E164" s="42">
        <f t="shared" si="11"/>
        <v>334.78260869565219</v>
      </c>
    </row>
    <row r="165" spans="1:5">
      <c r="A165" s="28">
        <v>158</v>
      </c>
      <c r="B165" s="42">
        <f t="shared" si="8"/>
        <v>76.74740347835214</v>
      </c>
      <c r="C165" s="42">
        <f t="shared" si="9"/>
        <v>330.05949854632934</v>
      </c>
      <c r="D165" s="28">
        <f t="shared" si="10"/>
        <v>77</v>
      </c>
      <c r="E165" s="42">
        <f t="shared" si="11"/>
        <v>334.78260869565219</v>
      </c>
    </row>
    <row r="166" spans="1:5">
      <c r="A166" s="28">
        <v>159</v>
      </c>
      <c r="B166" s="42">
        <f t="shared" si="8"/>
        <v>76.925282088743288</v>
      </c>
      <c r="C166" s="42">
        <f t="shared" si="9"/>
        <v>333.37474540139993</v>
      </c>
      <c r="D166" s="28">
        <f t="shared" si="10"/>
        <v>77</v>
      </c>
      <c r="E166" s="42">
        <f t="shared" si="11"/>
        <v>334.78260869565219</v>
      </c>
    </row>
    <row r="167" spans="1:5">
      <c r="A167" s="28">
        <v>160</v>
      </c>
      <c r="B167" s="42">
        <f t="shared" si="8"/>
        <v>77.102136295720769</v>
      </c>
      <c r="C167" s="42">
        <f t="shared" si="9"/>
        <v>336.7219636358987</v>
      </c>
      <c r="D167" s="28">
        <f t="shared" si="10"/>
        <v>77</v>
      </c>
      <c r="E167" s="42">
        <f t="shared" si="11"/>
        <v>334.78260869565219</v>
      </c>
    </row>
    <row r="168" spans="1:5">
      <c r="A168" s="28">
        <v>161</v>
      </c>
      <c r="B168" s="42">
        <f t="shared" si="8"/>
        <v>77.277977830838964</v>
      </c>
      <c r="C168" s="42">
        <f t="shared" si="9"/>
        <v>340.10167429430112</v>
      </c>
      <c r="D168" s="28">
        <f t="shared" si="10"/>
        <v>77</v>
      </c>
      <c r="E168" s="42">
        <f t="shared" si="11"/>
        <v>334.78260869565219</v>
      </c>
    </row>
    <row r="169" spans="1:5">
      <c r="A169" s="28">
        <v>162</v>
      </c>
      <c r="B169" s="42">
        <f t="shared" si="8"/>
        <v>77.452818225273035</v>
      </c>
      <c r="C169" s="42">
        <f t="shared" si="9"/>
        <v>343.51440902512059</v>
      </c>
      <c r="D169" s="28">
        <f t="shared" si="10"/>
        <v>77</v>
      </c>
      <c r="E169" s="42">
        <f t="shared" si="11"/>
        <v>334.78260869565219</v>
      </c>
    </row>
    <row r="170" spans="1:5">
      <c r="A170" s="28">
        <v>163</v>
      </c>
      <c r="B170" s="42">
        <f t="shared" si="8"/>
        <v>77.626668814356393</v>
      </c>
      <c r="C170" s="42">
        <f t="shared" si="9"/>
        <v>346.96071036648954</v>
      </c>
      <c r="D170" s="28">
        <f t="shared" si="10"/>
        <v>78</v>
      </c>
      <c r="E170" s="42">
        <f t="shared" si="11"/>
        <v>354.54545454545456</v>
      </c>
    </row>
    <row r="171" spans="1:5">
      <c r="A171" s="28">
        <v>164</v>
      </c>
      <c r="B171" s="42">
        <f t="shared" si="8"/>
        <v>77.799540741990597</v>
      </c>
      <c r="C171" s="42">
        <f t="shared" si="9"/>
        <v>350.44113204064621</v>
      </c>
      <c r="D171" s="28">
        <f t="shared" si="10"/>
        <v>78</v>
      </c>
      <c r="E171" s="42">
        <f t="shared" si="11"/>
        <v>354.54545454545456</v>
      </c>
    </row>
    <row r="172" spans="1:5">
      <c r="A172" s="28">
        <v>165</v>
      </c>
      <c r="B172" s="42">
        <f t="shared" si="8"/>
        <v>77.971444964931806</v>
      </c>
      <c r="C172" s="42">
        <f t="shared" si="9"/>
        <v>353.95623925766239</v>
      </c>
      <c r="D172" s="28">
        <f t="shared" si="10"/>
        <v>78</v>
      </c>
      <c r="E172" s="42">
        <f t="shared" si="11"/>
        <v>354.54545454545456</v>
      </c>
    </row>
    <row r="173" spans="1:5">
      <c r="A173" s="28">
        <v>166</v>
      </c>
      <c r="B173" s="42">
        <f t="shared" si="8"/>
        <v>78.142392256957876</v>
      </c>
      <c r="C173" s="42">
        <f t="shared" si="9"/>
        <v>357.50660902876132</v>
      </c>
      <c r="D173" s="28">
        <f t="shared" si="10"/>
        <v>78</v>
      </c>
      <c r="E173" s="42">
        <f t="shared" si="11"/>
        <v>354.54545454545456</v>
      </c>
    </row>
    <row r="174" spans="1:5">
      <c r="A174" s="28">
        <v>167</v>
      </c>
      <c r="B174" s="42">
        <f t="shared" si="8"/>
        <v>78.312393212920142</v>
      </c>
      <c r="C174" s="42">
        <f t="shared" si="9"/>
        <v>361.09283048959486</v>
      </c>
      <c r="D174" s="28">
        <f t="shared" si="10"/>
        <v>78</v>
      </c>
      <c r="E174" s="42">
        <f t="shared" si="11"/>
        <v>354.54545454545456</v>
      </c>
    </row>
    <row r="175" spans="1:5">
      <c r="A175" s="28">
        <v>168</v>
      </c>
      <c r="B175" s="42">
        <f t="shared" si="8"/>
        <v>78.481458252683751</v>
      </c>
      <c r="C175" s="42">
        <f t="shared" si="9"/>
        <v>364.71550523386094</v>
      </c>
      <c r="D175" s="28">
        <f t="shared" si="10"/>
        <v>78</v>
      </c>
      <c r="E175" s="42">
        <f t="shared" si="11"/>
        <v>354.54545454545456</v>
      </c>
    </row>
    <row r="176" spans="1:5">
      <c r="A176" s="28">
        <v>169</v>
      </c>
      <c r="B176" s="42">
        <f t="shared" si="8"/>
        <v>78.649597624959853</v>
      </c>
      <c r="C176" s="42">
        <f t="shared" si="9"/>
        <v>368.37524765765431</v>
      </c>
      <c r="D176" s="28">
        <f t="shared" si="10"/>
        <v>79</v>
      </c>
      <c r="E176" s="42">
        <f t="shared" si="11"/>
        <v>376.1904761904762</v>
      </c>
    </row>
    <row r="177" spans="1:5">
      <c r="A177" s="28">
        <v>170</v>
      </c>
      <c r="B177" s="42">
        <f t="shared" si="8"/>
        <v>78.816821411033857</v>
      </c>
      <c r="C177" s="42">
        <f t="shared" si="9"/>
        <v>372.07268531497829</v>
      </c>
      <c r="D177" s="28">
        <f t="shared" si="10"/>
        <v>79</v>
      </c>
      <c r="E177" s="42">
        <f t="shared" si="11"/>
        <v>376.1904761904762</v>
      </c>
    </row>
    <row r="178" spans="1:5">
      <c r="A178" s="28">
        <v>171</v>
      </c>
      <c r="B178" s="42">
        <f t="shared" si="8"/>
        <v>78.983139528392343</v>
      </c>
      <c r="C178" s="42">
        <f t="shared" si="9"/>
        <v>375.80845928483546</v>
      </c>
      <c r="D178" s="28">
        <f t="shared" si="10"/>
        <v>79</v>
      </c>
      <c r="E178" s="42">
        <f t="shared" si="11"/>
        <v>376.1904761904762</v>
      </c>
    </row>
    <row r="179" spans="1:5">
      <c r="A179" s="28">
        <v>172</v>
      </c>
      <c r="B179" s="42">
        <f t="shared" si="8"/>
        <v>79.148561734252525</v>
      </c>
      <c r="C179" s="42">
        <f t="shared" si="9"/>
        <v>379.58322455036284</v>
      </c>
      <c r="D179" s="28">
        <f t="shared" si="10"/>
        <v>79</v>
      </c>
      <c r="E179" s="42">
        <f t="shared" si="11"/>
        <v>376.1904761904762</v>
      </c>
    </row>
    <row r="180" spans="1:5">
      <c r="A180" s="28">
        <v>173</v>
      </c>
      <c r="B180" s="42">
        <f t="shared" si="8"/>
        <v>79.313097628997099</v>
      </c>
      <c r="C180" s="42">
        <f t="shared" si="9"/>
        <v>383.39765039047745</v>
      </c>
      <c r="D180" s="28">
        <f t="shared" si="10"/>
        <v>79</v>
      </c>
      <c r="E180" s="42">
        <f t="shared" si="11"/>
        <v>376.1904761904762</v>
      </c>
    </row>
    <row r="181" spans="1:5">
      <c r="A181" s="28">
        <v>174</v>
      </c>
      <c r="B181" s="42">
        <f t="shared" si="8"/>
        <v>79.476756659517491</v>
      </c>
      <c r="C181" s="42">
        <f t="shared" si="9"/>
        <v>387.25242078452578</v>
      </c>
      <c r="D181" s="28">
        <f t="shared" si="10"/>
        <v>79</v>
      </c>
      <c r="E181" s="42">
        <f t="shared" si="11"/>
        <v>376.1904761904762</v>
      </c>
    </row>
    <row r="182" spans="1:5">
      <c r="A182" s="28">
        <v>175</v>
      </c>
      <c r="B182" s="42">
        <f t="shared" si="8"/>
        <v>79.639548122468611</v>
      </c>
      <c r="C182" s="42">
        <f t="shared" si="9"/>
        <v>391.14823483045672</v>
      </c>
      <c r="D182" s="28">
        <f t="shared" si="10"/>
        <v>80</v>
      </c>
      <c r="E182" s="42">
        <f t="shared" si="11"/>
        <v>400</v>
      </c>
    </row>
    <row r="183" spans="1:5">
      <c r="A183" s="28">
        <v>176</v>
      </c>
      <c r="B183" s="42">
        <f t="shared" si="8"/>
        <v>79.8014811674377</v>
      </c>
      <c r="C183" s="42">
        <f t="shared" si="9"/>
        <v>395.0858071770524</v>
      </c>
      <c r="D183" s="28">
        <f t="shared" si="10"/>
        <v>80</v>
      </c>
      <c r="E183" s="42">
        <f t="shared" si="11"/>
        <v>400</v>
      </c>
    </row>
    <row r="184" spans="1:5">
      <c r="A184" s="28">
        <v>177</v>
      </c>
      <c r="B184" s="42">
        <f t="shared" si="8"/>
        <v>79.962564800030094</v>
      </c>
      <c r="C184" s="42">
        <f t="shared" si="9"/>
        <v>399.06586847078211</v>
      </c>
      <c r="D184" s="28">
        <f t="shared" si="10"/>
        <v>80</v>
      </c>
      <c r="E184" s="42">
        <f t="shared" si="11"/>
        <v>400</v>
      </c>
    </row>
    <row r="185" spans="1:5">
      <c r="A185" s="28">
        <v>178</v>
      </c>
      <c r="B185" s="42">
        <f t="shared" si="8"/>
        <v>80.122807884874518</v>
      </c>
      <c r="C185" s="42">
        <f t="shared" si="9"/>
        <v>403.08916581786889</v>
      </c>
      <c r="D185" s="28">
        <f t="shared" si="10"/>
        <v>80</v>
      </c>
      <c r="E185" s="42">
        <f t="shared" si="11"/>
        <v>400</v>
      </c>
    </row>
    <row r="186" spans="1:5">
      <c r="A186" s="28">
        <v>179</v>
      </c>
      <c r="B186" s="42">
        <f t="shared" si="8"/>
        <v>80.282219148550297</v>
      </c>
      <c r="C186" s="42">
        <f t="shared" si="9"/>
        <v>407.15646326218166</v>
      </c>
      <c r="D186" s="28">
        <f t="shared" si="10"/>
        <v>80</v>
      </c>
      <c r="E186" s="42">
        <f t="shared" si="11"/>
        <v>400</v>
      </c>
    </row>
    <row r="187" spans="1:5">
      <c r="A187" s="28">
        <v>180</v>
      </c>
      <c r="B187" s="42">
        <f t="shared" si="8"/>
        <v>80.440807182439087</v>
      </c>
      <c r="C187" s="42">
        <f t="shared" si="9"/>
        <v>411.26854227960052</v>
      </c>
      <c r="D187" s="28">
        <f t="shared" si="10"/>
        <v>80</v>
      </c>
      <c r="E187" s="42">
        <f t="shared" si="11"/>
        <v>400</v>
      </c>
    </row>
    <row r="188" spans="1:5">
      <c r="A188" s="28">
        <v>181</v>
      </c>
      <c r="B188" s="42">
        <f t="shared" si="8"/>
        <v>80.598580445503188</v>
      </c>
      <c r="C188" s="42">
        <f t="shared" si="9"/>
        <v>415.42620228952399</v>
      </c>
      <c r="D188" s="28">
        <f t="shared" si="10"/>
        <v>81</v>
      </c>
      <c r="E188" s="42">
        <f t="shared" si="11"/>
        <v>426.31578947368428</v>
      </c>
    </row>
    <row r="189" spans="1:5">
      <c r="A189" s="28">
        <v>182</v>
      </c>
      <c r="B189" s="42">
        <f t="shared" si="8"/>
        <v>80.755547266993105</v>
      </c>
      <c r="C189" s="42">
        <f t="shared" si="9"/>
        <v>419.63026118423301</v>
      </c>
      <c r="D189" s="28">
        <f t="shared" si="10"/>
        <v>81</v>
      </c>
      <c r="E189" s="42">
        <f t="shared" si="11"/>
        <v>426.31578947368428</v>
      </c>
    </row>
    <row r="190" spans="1:5">
      <c r="A190" s="28">
        <v>183</v>
      </c>
      <c r="B190" s="42">
        <f t="shared" si="8"/>
        <v>80.911715849085937</v>
      </c>
      <c r="C190" s="42">
        <f t="shared" si="9"/>
        <v>423.88155587683548</v>
      </c>
      <c r="D190" s="28">
        <f t="shared" si="10"/>
        <v>81</v>
      </c>
      <c r="E190" s="42">
        <f t="shared" si="11"/>
        <v>426.31578947368428</v>
      </c>
    </row>
    <row r="191" spans="1:5">
      <c r="A191" s="28">
        <v>184</v>
      </c>
      <c r="B191" s="42">
        <f t="shared" si="8"/>
        <v>81.067094269457357</v>
      </c>
      <c r="C191" s="42">
        <f t="shared" si="9"/>
        <v>428.18094286858235</v>
      </c>
      <c r="D191" s="28">
        <f t="shared" si="10"/>
        <v>81</v>
      </c>
      <c r="E191" s="42">
        <f t="shared" si="11"/>
        <v>426.31578947368428</v>
      </c>
    </row>
    <row r="192" spans="1:5">
      <c r="A192" s="28">
        <v>185</v>
      </c>
      <c r="B192" s="42">
        <f t="shared" si="8"/>
        <v>81.221690483788535</v>
      </c>
      <c r="C192" s="42">
        <f t="shared" si="9"/>
        <v>432.52929883634732</v>
      </c>
      <c r="D192" s="28">
        <f t="shared" si="10"/>
        <v>81</v>
      </c>
      <c r="E192" s="42">
        <f t="shared" si="11"/>
        <v>426.31578947368428</v>
      </c>
    </row>
    <row r="193" spans="1:5">
      <c r="A193" s="28">
        <v>186</v>
      </c>
      <c r="B193" s="42">
        <f t="shared" si="8"/>
        <v>81.375512328210576</v>
      </c>
      <c r="C193" s="42">
        <f t="shared" si="9"/>
        <v>436.92752124113639</v>
      </c>
      <c r="D193" s="28">
        <f t="shared" si="10"/>
        <v>81</v>
      </c>
      <c r="E193" s="42">
        <f t="shared" si="11"/>
        <v>426.31578947368428</v>
      </c>
    </row>
    <row r="194" spans="1:5">
      <c r="A194" s="28">
        <v>187</v>
      </c>
      <c r="B194" s="42">
        <f t="shared" si="8"/>
        <v>81.528567521687805</v>
      </c>
      <c r="C194" s="42">
        <f t="shared" si="9"/>
        <v>441.37652895850215</v>
      </c>
      <c r="D194" s="28">
        <f t="shared" si="10"/>
        <v>82</v>
      </c>
      <c r="E194" s="42">
        <f t="shared" si="11"/>
        <v>455.55555555555554</v>
      </c>
    </row>
    <row r="195" spans="1:5">
      <c r="A195" s="28">
        <v>188</v>
      </c>
      <c r="B195" s="42">
        <f t="shared" si="8"/>
        <v>81.680863668342013</v>
      </c>
      <c r="C195" s="42">
        <f t="shared" si="9"/>
        <v>445.87726293180231</v>
      </c>
      <c r="D195" s="28">
        <f t="shared" si="10"/>
        <v>82</v>
      </c>
      <c r="E195" s="42">
        <f t="shared" si="11"/>
        <v>455.55555555555554</v>
      </c>
    </row>
    <row r="196" spans="1:5">
      <c r="A196" s="28">
        <v>189</v>
      </c>
      <c r="B196" s="42">
        <f t="shared" si="8"/>
        <v>81.832408259719486</v>
      </c>
      <c r="C196" s="42">
        <f t="shared" si="9"/>
        <v>450.430686849285</v>
      </c>
      <c r="D196" s="28">
        <f t="shared" si="10"/>
        <v>82</v>
      </c>
      <c r="E196" s="42">
        <f t="shared" si="11"/>
        <v>455.55555555555554</v>
      </c>
    </row>
    <row r="197" spans="1:5">
      <c r="A197" s="28">
        <v>190</v>
      </c>
      <c r="B197" s="42">
        <f t="shared" si="8"/>
        <v>81.983208677002182</v>
      </c>
      <c r="C197" s="42">
        <f t="shared" si="9"/>
        <v>455.0377878460157</v>
      </c>
      <c r="D197" s="28">
        <f t="shared" si="10"/>
        <v>82</v>
      </c>
      <c r="E197" s="42">
        <f t="shared" si="11"/>
        <v>455.55555555555554</v>
      </c>
    </row>
    <row r="198" spans="1:5">
      <c r="A198" s="28">
        <v>191</v>
      </c>
      <c r="B198" s="42">
        <f t="shared" si="8"/>
        <v>82.133272193165041</v>
      </c>
      <c r="C198" s="42">
        <f t="shared" si="9"/>
        <v>459.69957723173439</v>
      </c>
      <c r="D198" s="28">
        <f t="shared" si="10"/>
        <v>82</v>
      </c>
      <c r="E198" s="42">
        <f t="shared" si="11"/>
        <v>455.55555555555554</v>
      </c>
    </row>
    <row r="199" spans="1:5">
      <c r="A199" s="28">
        <v>192</v>
      </c>
      <c r="B199" s="42">
        <f t="shared" si="8"/>
        <v>82.282605975080656</v>
      </c>
      <c r="C199" s="42">
        <f t="shared" si="9"/>
        <v>464.4170912457609</v>
      </c>
      <c r="D199" s="28">
        <f t="shared" si="10"/>
        <v>82</v>
      </c>
      <c r="E199" s="42">
        <f t="shared" si="11"/>
        <v>455.55555555555554</v>
      </c>
    </row>
    <row r="200" spans="1:5">
      <c r="A200" s="28">
        <v>193</v>
      </c>
      <c r="B200" s="42">
        <f t="shared" ref="B200:B263" si="12">(100/SQRT(2))*LOG10((A200+10*SQRT(2))/(10*SQRT(2)))</f>
        <v>82.431217085573294</v>
      </c>
      <c r="C200" s="42">
        <f t="shared" ref="C200:C263" si="13">B200/(100-B200)*100</f>
        <v>469.19139184015091</v>
      </c>
      <c r="D200" s="28">
        <f t="shared" ref="D200:D263" si="14">ROUND((100/SQRT(2))*LOG10((A200+10*SQRT(2))/(10*SQRT(2))), 0)</f>
        <v>82</v>
      </c>
      <c r="E200" s="42">
        <f t="shared" ref="E200:E263" si="15">D200/(100-D200)*100</f>
        <v>455.55555555555554</v>
      </c>
    </row>
    <row r="201" spans="1:5">
      <c r="A201" s="28">
        <v>194</v>
      </c>
      <c r="B201" s="42">
        <f t="shared" si="12"/>
        <v>82.579112485423124</v>
      </c>
      <c r="C201" s="42">
        <f t="shared" si="13"/>
        <v>474.02356749232951</v>
      </c>
      <c r="D201" s="28">
        <f t="shared" si="14"/>
        <v>83</v>
      </c>
      <c r="E201" s="42">
        <f t="shared" si="15"/>
        <v>488.23529411764707</v>
      </c>
    </row>
    <row r="202" spans="1:5">
      <c r="A202" s="28">
        <v>195</v>
      </c>
      <c r="B202" s="42">
        <f t="shared" si="12"/>
        <v>82.726299035322725</v>
      </c>
      <c r="C202" s="42">
        <f t="shared" si="13"/>
        <v>478.9147340485311</v>
      </c>
      <c r="D202" s="28">
        <f t="shared" si="14"/>
        <v>83</v>
      </c>
      <c r="E202" s="42">
        <f t="shared" si="15"/>
        <v>488.23529411764707</v>
      </c>
    </row>
    <row r="203" spans="1:5">
      <c r="A203" s="28">
        <v>196</v>
      </c>
      <c r="B203" s="42">
        <f t="shared" si="12"/>
        <v>82.872783497786685</v>
      </c>
      <c r="C203" s="42">
        <f t="shared" si="13"/>
        <v>483.86603559940522</v>
      </c>
      <c r="D203" s="28">
        <f t="shared" si="14"/>
        <v>83</v>
      </c>
      <c r="E203" s="42">
        <f t="shared" si="15"/>
        <v>488.23529411764707</v>
      </c>
    </row>
    <row r="204" spans="1:5">
      <c r="A204" s="28">
        <v>197</v>
      </c>
      <c r="B204" s="42">
        <f t="shared" si="12"/>
        <v>83.018572539016034</v>
      </c>
      <c r="C204" s="42">
        <f t="shared" si="13"/>
        <v>488.87864538924714</v>
      </c>
      <c r="D204" s="28">
        <f t="shared" si="14"/>
        <v>83</v>
      </c>
      <c r="E204" s="42">
        <f t="shared" si="15"/>
        <v>488.23529411764707</v>
      </c>
    </row>
    <row r="205" spans="1:5">
      <c r="A205" s="28">
        <v>198</v>
      </c>
      <c r="B205" s="42">
        <f t="shared" si="12"/>
        <v>83.163672730718559</v>
      </c>
      <c r="C205" s="42">
        <f t="shared" si="13"/>
        <v>493.95376676036722</v>
      </c>
      <c r="D205" s="28">
        <f t="shared" si="14"/>
        <v>83</v>
      </c>
      <c r="E205" s="42">
        <f t="shared" si="15"/>
        <v>488.23529411764707</v>
      </c>
    </row>
    <row r="206" spans="1:5">
      <c r="A206" s="28">
        <v>199</v>
      </c>
      <c r="B206" s="42">
        <f t="shared" si="12"/>
        <v>83.308090551886309</v>
      </c>
      <c r="C206" s="42">
        <f t="shared" si="13"/>
        <v>499.09263413420166</v>
      </c>
      <c r="D206" s="28">
        <f t="shared" si="14"/>
        <v>83</v>
      </c>
      <c r="E206" s="42">
        <f t="shared" si="15"/>
        <v>488.23529411764707</v>
      </c>
    </row>
    <row r="207" spans="1:5">
      <c r="A207" s="28">
        <v>200</v>
      </c>
      <c r="B207" s="42">
        <f t="shared" si="12"/>
        <v>83.451832390531536</v>
      </c>
      <c r="C207" s="42">
        <f t="shared" si="13"/>
        <v>504.29651403084898</v>
      </c>
      <c r="D207" s="28">
        <f t="shared" si="14"/>
        <v>83</v>
      </c>
      <c r="E207" s="42">
        <f t="shared" si="15"/>
        <v>488.23529411764707</v>
      </c>
    </row>
    <row r="208" spans="1:5">
      <c r="A208" s="28">
        <v>201</v>
      </c>
      <c r="B208" s="42">
        <f t="shared" si="12"/>
        <v>83.594904545382164</v>
      </c>
      <c r="C208" s="42">
        <f t="shared" si="13"/>
        <v>509.5667061288035</v>
      </c>
      <c r="D208" s="28">
        <f t="shared" si="14"/>
        <v>84</v>
      </c>
      <c r="E208" s="42">
        <f t="shared" si="15"/>
        <v>525</v>
      </c>
    </row>
    <row r="209" spans="1:5">
      <c r="A209" s="28">
        <v>202</v>
      </c>
      <c r="B209" s="42">
        <f t="shared" si="12"/>
        <v>83.737313227537996</v>
      </c>
      <c r="C209" s="42">
        <f t="shared" si="13"/>
        <v>514.90454436675486</v>
      </c>
      <c r="D209" s="28">
        <f t="shared" si="14"/>
        <v>84</v>
      </c>
      <c r="E209" s="42">
        <f t="shared" si="15"/>
        <v>525</v>
      </c>
    </row>
    <row r="210" spans="1:5">
      <c r="A210" s="28">
        <v>203</v>
      </c>
      <c r="B210" s="42">
        <f t="shared" si="12"/>
        <v>83.879064562088644</v>
      </c>
      <c r="C210" s="42">
        <f t="shared" si="13"/>
        <v>520.31139808941566</v>
      </c>
      <c r="D210" s="28">
        <f t="shared" si="14"/>
        <v>84</v>
      </c>
      <c r="E210" s="42">
        <f t="shared" si="15"/>
        <v>525</v>
      </c>
    </row>
    <row r="211" spans="1:5">
      <c r="A211" s="28">
        <v>204</v>
      </c>
      <c r="B211" s="42">
        <f t="shared" si="12"/>
        <v>84.020164589694247</v>
      </c>
      <c r="C211" s="42">
        <f t="shared" si="13"/>
        <v>525.78867323944871</v>
      </c>
      <c r="D211" s="28">
        <f t="shared" si="14"/>
        <v>84</v>
      </c>
      <c r="E211" s="42">
        <f t="shared" si="15"/>
        <v>525</v>
      </c>
    </row>
    <row r="212" spans="1:5">
      <c r="A212" s="28">
        <v>205</v>
      </c>
      <c r="B212" s="42">
        <f t="shared" si="12"/>
        <v>84.160619268130219</v>
      </c>
      <c r="C212" s="42">
        <f t="shared" si="13"/>
        <v>531.33781359768705</v>
      </c>
      <c r="D212" s="28">
        <f t="shared" si="14"/>
        <v>84</v>
      </c>
      <c r="E212" s="42">
        <f t="shared" si="15"/>
        <v>525</v>
      </c>
    </row>
    <row r="213" spans="1:5">
      <c r="A213" s="28">
        <v>206</v>
      </c>
      <c r="B213" s="42">
        <f t="shared" si="12"/>
        <v>84.300434473796599</v>
      </c>
      <c r="C213" s="42">
        <f t="shared" si="13"/>
        <v>536.96030207393153</v>
      </c>
      <c r="D213" s="28">
        <f t="shared" si="14"/>
        <v>84</v>
      </c>
      <c r="E213" s="42">
        <f t="shared" si="15"/>
        <v>525</v>
      </c>
    </row>
    <row r="214" spans="1:5">
      <c r="A214" s="28">
        <v>207</v>
      </c>
      <c r="B214" s="42">
        <f t="shared" si="12"/>
        <v>84.439616003193393</v>
      </c>
      <c r="C214" s="42">
        <f t="shared" si="13"/>
        <v>542.65766205077318</v>
      </c>
      <c r="D214" s="28">
        <f t="shared" si="14"/>
        <v>84</v>
      </c>
      <c r="E214" s="42">
        <f t="shared" si="15"/>
        <v>525</v>
      </c>
    </row>
    <row r="215" spans="1:5">
      <c r="A215" s="28">
        <v>208</v>
      </c>
      <c r="B215" s="42">
        <f t="shared" si="12"/>
        <v>84.578169574362491</v>
      </c>
      <c r="C215" s="42">
        <f t="shared" si="13"/>
        <v>548.4314587829881</v>
      </c>
      <c r="D215" s="28">
        <f t="shared" si="14"/>
        <v>85</v>
      </c>
      <c r="E215" s="42">
        <f t="shared" si="15"/>
        <v>566.66666666666674</v>
      </c>
    </row>
    <row r="216" spans="1:5">
      <c r="A216" s="28">
        <v>209</v>
      </c>
      <c r="B216" s="42">
        <f t="shared" si="12"/>
        <v>84.7161008282973</v>
      </c>
      <c r="C216" s="42">
        <f t="shared" si="13"/>
        <v>554.28330085521964</v>
      </c>
      <c r="D216" s="28">
        <f t="shared" si="14"/>
        <v>85</v>
      </c>
      <c r="E216" s="42">
        <f t="shared" si="15"/>
        <v>566.66666666666674</v>
      </c>
    </row>
    <row r="217" spans="1:5">
      <c r="A217" s="28">
        <v>210</v>
      </c>
      <c r="B217" s="42">
        <f t="shared" si="12"/>
        <v>84.8534153303208</v>
      </c>
      <c r="C217" s="42">
        <f t="shared" si="13"/>
        <v>560.21484170079884</v>
      </c>
      <c r="D217" s="28">
        <f t="shared" si="14"/>
        <v>85</v>
      </c>
      <c r="E217" s="42">
        <f t="shared" si="15"/>
        <v>566.66666666666674</v>
      </c>
    </row>
    <row r="218" spans="1:5">
      <c r="A218" s="28">
        <v>211</v>
      </c>
      <c r="B218" s="42">
        <f t="shared" si="12"/>
        <v>84.990118571432959</v>
      </c>
      <c r="C218" s="42">
        <f t="shared" si="13"/>
        <v>566.22778118472297</v>
      </c>
      <c r="D218" s="28">
        <f t="shared" si="14"/>
        <v>85</v>
      </c>
      <c r="E218" s="42">
        <f t="shared" si="15"/>
        <v>566.66666666666674</v>
      </c>
    </row>
    <row r="219" spans="1:5">
      <c r="A219" s="28">
        <v>212</v>
      </c>
      <c r="B219" s="42">
        <f t="shared" si="12"/>
        <v>85.126215969628305</v>
      </c>
      <c r="C219" s="42">
        <f t="shared" si="13"/>
        <v>572.32386725398089</v>
      </c>
      <c r="D219" s="28">
        <f t="shared" si="14"/>
        <v>85</v>
      </c>
      <c r="E219" s="42">
        <f t="shared" si="15"/>
        <v>566.66666666666674</v>
      </c>
    </row>
    <row r="220" spans="1:5">
      <c r="A220" s="28">
        <v>213</v>
      </c>
      <c r="B220" s="42">
        <f t="shared" si="12"/>
        <v>85.261712871184358</v>
      </c>
      <c r="C220" s="42">
        <f t="shared" si="13"/>
        <v>578.50489765859197</v>
      </c>
      <c r="D220" s="28">
        <f t="shared" si="14"/>
        <v>85</v>
      </c>
      <c r="E220" s="42">
        <f t="shared" si="15"/>
        <v>566.66666666666674</v>
      </c>
    </row>
    <row r="221" spans="1:5">
      <c r="A221" s="28">
        <v>214</v>
      </c>
      <c r="B221" s="42">
        <f t="shared" si="12"/>
        <v>85.396614551921857</v>
      </c>
      <c r="C221" s="42">
        <f t="shared" si="13"/>
        <v>584.77272174693132</v>
      </c>
      <c r="D221" s="28">
        <f t="shared" si="14"/>
        <v>85</v>
      </c>
      <c r="E221" s="42">
        <f t="shared" si="15"/>
        <v>566.66666666666674</v>
      </c>
    </row>
    <row r="222" spans="1:5">
      <c r="A222" s="28">
        <v>215</v>
      </c>
      <c r="B222" s="42">
        <f t="shared" si="12"/>
        <v>85.530926218437344</v>
      </c>
      <c r="C222" s="42">
        <f t="shared" si="13"/>
        <v>591.12924233910439</v>
      </c>
      <c r="D222" s="28">
        <f t="shared" si="14"/>
        <v>86</v>
      </c>
      <c r="E222" s="42">
        <f t="shared" si="15"/>
        <v>614.28571428571433</v>
      </c>
    </row>
    <row r="223" spans="1:5">
      <c r="A223" s="28">
        <v>216</v>
      </c>
      <c r="B223" s="42">
        <f t="shared" si="12"/>
        <v>85.664653009308978</v>
      </c>
      <c r="C223" s="42">
        <f t="shared" si="13"/>
        <v>597.5764176823709</v>
      </c>
      <c r="D223" s="28">
        <f t="shared" si="14"/>
        <v>86</v>
      </c>
      <c r="E223" s="42">
        <f t="shared" si="15"/>
        <v>614.28571428571433</v>
      </c>
    </row>
    <row r="224" spans="1:5">
      <c r="A224" s="28">
        <v>217</v>
      </c>
      <c r="B224" s="42">
        <f t="shared" si="12"/>
        <v>85.797799996276183</v>
      </c>
      <c r="C224" s="42">
        <f t="shared" si="13"/>
        <v>604.11626349283915</v>
      </c>
      <c r="D224" s="28">
        <f t="shared" si="14"/>
        <v>86</v>
      </c>
      <c r="E224" s="42">
        <f t="shared" si="15"/>
        <v>614.28571428571433</v>
      </c>
    </row>
    <row r="225" spans="1:5">
      <c r="A225" s="28">
        <v>218</v>
      </c>
      <c r="B225" s="42">
        <f t="shared" si="12"/>
        <v>85.930372185393779</v>
      </c>
      <c r="C225" s="42">
        <f t="shared" si="13"/>
        <v>610.75085508790903</v>
      </c>
      <c r="D225" s="28">
        <f t="shared" si="14"/>
        <v>86</v>
      </c>
      <c r="E225" s="42">
        <f t="shared" si="15"/>
        <v>614.28571428571433</v>
      </c>
    </row>
    <row r="226" spans="1:5">
      <c r="A226" s="28">
        <v>219</v>
      </c>
      <c r="B226" s="42">
        <f t="shared" si="12"/>
        <v>86.062374518161448</v>
      </c>
      <c r="C226" s="42">
        <f t="shared" si="13"/>
        <v>617.48232961421706</v>
      </c>
      <c r="D226" s="28">
        <f t="shared" si="14"/>
        <v>86</v>
      </c>
      <c r="E226" s="42">
        <f t="shared" si="15"/>
        <v>614.28571428571433</v>
      </c>
    </row>
    <row r="227" spans="1:5">
      <c r="A227" s="28">
        <v>220</v>
      </c>
      <c r="B227" s="42">
        <f t="shared" si="12"/>
        <v>86.193811872628856</v>
      </c>
      <c r="C227" s="42">
        <f t="shared" si="13"/>
        <v>624.31288837609907</v>
      </c>
      <c r="D227" s="28">
        <f t="shared" si="14"/>
        <v>86</v>
      </c>
      <c r="E227" s="42">
        <f t="shared" si="15"/>
        <v>614.28571428571433</v>
      </c>
    </row>
    <row r="228" spans="1:5">
      <c r="A228" s="28">
        <v>221</v>
      </c>
      <c r="B228" s="42">
        <f t="shared" si="12"/>
        <v>86.324689064477312</v>
      </c>
      <c r="C228" s="42">
        <f t="shared" si="13"/>
        <v>631.24479926991773</v>
      </c>
      <c r="D228" s="28">
        <f t="shared" si="14"/>
        <v>86</v>
      </c>
      <c r="E228" s="42">
        <f t="shared" si="15"/>
        <v>614.28571428571433</v>
      </c>
    </row>
    <row r="229" spans="1:5">
      <c r="A229" s="28">
        <v>222</v>
      </c>
      <c r="B229" s="42">
        <f t="shared" si="12"/>
        <v>86.455010848078558</v>
      </c>
      <c r="C229" s="42">
        <f t="shared" si="13"/>
        <v>638.28039932992033</v>
      </c>
      <c r="D229" s="28">
        <f t="shared" si="14"/>
        <v>86</v>
      </c>
      <c r="E229" s="42">
        <f t="shared" si="15"/>
        <v>614.28571428571433</v>
      </c>
    </row>
    <row r="230" spans="1:5">
      <c r="A230" s="28">
        <v>223</v>
      </c>
      <c r="B230" s="42">
        <f t="shared" si="12"/>
        <v>86.584781917530975</v>
      </c>
      <c r="C230" s="42">
        <f t="shared" si="13"/>
        <v>645.42209739161649</v>
      </c>
      <c r="D230" s="28">
        <f t="shared" si="14"/>
        <v>87</v>
      </c>
      <c r="E230" s="42">
        <f t="shared" si="15"/>
        <v>669.23076923076928</v>
      </c>
    </row>
    <row r="231" spans="1:5">
      <c r="A231" s="28">
        <v>224</v>
      </c>
      <c r="B231" s="42">
        <f t="shared" si="12"/>
        <v>86.714006907674261</v>
      </c>
      <c r="C231" s="42">
        <f t="shared" si="13"/>
        <v>652.67237687909119</v>
      </c>
      <c r="D231" s="28">
        <f t="shared" si="14"/>
        <v>87</v>
      </c>
      <c r="E231" s="42">
        <f t="shared" si="15"/>
        <v>669.23076923076928</v>
      </c>
    </row>
    <row r="232" spans="1:5">
      <c r="A232" s="28">
        <v>225</v>
      </c>
      <c r="B232" s="42">
        <f t="shared" si="12"/>
        <v>86.842690395082556</v>
      </c>
      <c r="C232" s="42">
        <f t="shared" si="13"/>
        <v>660.03379872299854</v>
      </c>
      <c r="D232" s="28">
        <f t="shared" si="14"/>
        <v>87</v>
      </c>
      <c r="E232" s="42">
        <f t="shared" si="15"/>
        <v>669.23076923076928</v>
      </c>
    </row>
    <row r="233" spans="1:5">
      <c r="A233" s="28">
        <v>226</v>
      </c>
      <c r="B233" s="42">
        <f t="shared" si="12"/>
        <v>86.970836899037096</v>
      </c>
      <c r="C233" s="42">
        <f t="shared" si="13"/>
        <v>667.50900441648184</v>
      </c>
      <c r="D233" s="28">
        <f t="shared" si="14"/>
        <v>87</v>
      </c>
      <c r="E233" s="42">
        <f t="shared" si="15"/>
        <v>669.23076923076928</v>
      </c>
    </row>
    <row r="234" spans="1:5">
      <c r="A234" s="28">
        <v>227</v>
      </c>
      <c r="B234" s="42">
        <f t="shared" si="12"/>
        <v>87.098450882478488</v>
      </c>
      <c r="C234" s="42">
        <f t="shared" si="13"/>
        <v>675.10071921666088</v>
      </c>
      <c r="D234" s="28">
        <f t="shared" si="14"/>
        <v>87</v>
      </c>
      <c r="E234" s="42">
        <f t="shared" si="15"/>
        <v>669.23076923076928</v>
      </c>
    </row>
    <row r="235" spans="1:5">
      <c r="A235" s="28">
        <v>228</v>
      </c>
      <c r="B235" s="42">
        <f t="shared" si="12"/>
        <v>87.225536752939448</v>
      </c>
      <c r="C235" s="42">
        <f t="shared" si="13"/>
        <v>682.81175549986676</v>
      </c>
      <c r="D235" s="28">
        <f t="shared" si="14"/>
        <v>87</v>
      </c>
      <c r="E235" s="42">
        <f t="shared" si="15"/>
        <v>669.23076923076928</v>
      </c>
    </row>
    <row r="236" spans="1:5">
      <c r="A236" s="28">
        <v>229</v>
      </c>
      <c r="B236" s="42">
        <f t="shared" si="12"/>
        <v>87.352098863458011</v>
      </c>
      <c r="C236" s="42">
        <f t="shared" si="13"/>
        <v>690.6450162792828</v>
      </c>
      <c r="D236" s="28">
        <f t="shared" si="14"/>
        <v>87</v>
      </c>
      <c r="E236" s="42">
        <f t="shared" si="15"/>
        <v>669.23076923076928</v>
      </c>
    </row>
    <row r="237" spans="1:5">
      <c r="A237" s="28">
        <v>230</v>
      </c>
      <c r="B237" s="42">
        <f t="shared" si="12"/>
        <v>87.47814151347248</v>
      </c>
      <c r="C237" s="42">
        <f t="shared" si="13"/>
        <v>698.6034988942871</v>
      </c>
      <c r="D237" s="28">
        <f t="shared" si="14"/>
        <v>87</v>
      </c>
      <c r="E237" s="42">
        <f t="shared" si="15"/>
        <v>669.23076923076928</v>
      </c>
    </row>
    <row r="238" spans="1:5">
      <c r="A238" s="28">
        <v>231</v>
      </c>
      <c r="B238" s="42">
        <f t="shared" si="12"/>
        <v>87.603668949697592</v>
      </c>
      <c r="C238" s="42">
        <f t="shared" si="13"/>
        <v>706.69029888130092</v>
      </c>
      <c r="D238" s="28">
        <f t="shared" si="14"/>
        <v>88</v>
      </c>
      <c r="E238" s="42">
        <f t="shared" si="15"/>
        <v>733.33333333333326</v>
      </c>
    </row>
    <row r="239" spans="1:5">
      <c r="A239" s="28">
        <v>232</v>
      </c>
      <c r="B239" s="42">
        <f t="shared" si="12"/>
        <v>87.728685366983115</v>
      </c>
      <c r="C239" s="42">
        <f t="shared" si="13"/>
        <v>714.90861403669464</v>
      </c>
      <c r="D239" s="28">
        <f t="shared" si="14"/>
        <v>88</v>
      </c>
      <c r="E239" s="42">
        <f t="shared" si="15"/>
        <v>733.33333333333326</v>
      </c>
    </row>
    <row r="240" spans="1:5">
      <c r="A240" s="28">
        <v>233</v>
      </c>
      <c r="B240" s="42">
        <f t="shared" si="12"/>
        <v>87.853194909155121</v>
      </c>
      <c r="C240" s="42">
        <f t="shared" si="13"/>
        <v>723.26174868295709</v>
      </c>
      <c r="D240" s="28">
        <f t="shared" si="14"/>
        <v>88</v>
      </c>
      <c r="E240" s="42">
        <f t="shared" si="15"/>
        <v>733.33333333333326</v>
      </c>
    </row>
    <row r="241" spans="1:5">
      <c r="A241" s="28">
        <v>234</v>
      </c>
      <c r="B241" s="42">
        <f t="shared" si="12"/>
        <v>87.977201669839928</v>
      </c>
      <c r="C241" s="42">
        <f t="shared" si="13"/>
        <v>731.75311815006216</v>
      </c>
      <c r="D241" s="28">
        <f t="shared" si="14"/>
        <v>88</v>
      </c>
      <c r="E241" s="42">
        <f t="shared" si="15"/>
        <v>733.33333333333326</v>
      </c>
    </row>
    <row r="242" spans="1:5">
      <c r="A242" s="28">
        <v>235</v>
      </c>
      <c r="B242" s="42">
        <f t="shared" si="12"/>
        <v>88.100709693271881</v>
      </c>
      <c r="C242" s="42">
        <f t="shared" si="13"/>
        <v>740.3862534848638</v>
      </c>
      <c r="D242" s="28">
        <f t="shared" si="14"/>
        <v>88</v>
      </c>
      <c r="E242" s="42">
        <f t="shared" si="15"/>
        <v>733.33333333333326</v>
      </c>
    </row>
    <row r="243" spans="1:5">
      <c r="A243" s="28">
        <v>236</v>
      </c>
      <c r="B243" s="42">
        <f t="shared" si="12"/>
        <v>88.223722975084627</v>
      </c>
      <c r="C243" s="42">
        <f t="shared" si="13"/>
        <v>749.16480640212035</v>
      </c>
      <c r="D243" s="28">
        <f t="shared" si="14"/>
        <v>88</v>
      </c>
      <c r="E243" s="42">
        <f t="shared" si="15"/>
        <v>733.33333333333326</v>
      </c>
    </row>
    <row r="244" spans="1:5">
      <c r="A244" s="28">
        <v>237</v>
      </c>
      <c r="B244" s="42">
        <f t="shared" si="12"/>
        <v>88.346245463086845</v>
      </c>
      <c r="C244" s="42">
        <f t="shared" si="13"/>
        <v>758.0925544917817</v>
      </c>
      <c r="D244" s="28">
        <f t="shared" si="14"/>
        <v>88</v>
      </c>
      <c r="E244" s="42">
        <f t="shared" si="15"/>
        <v>733.33333333333326</v>
      </c>
    </row>
    <row r="245" spans="1:5">
      <c r="A245" s="28">
        <v>238</v>
      </c>
      <c r="B245" s="42">
        <f t="shared" si="12"/>
        <v>88.46828105802237</v>
      </c>
      <c r="C245" s="42">
        <f t="shared" si="13"/>
        <v>767.17340669812165</v>
      </c>
      <c r="D245" s="28">
        <f t="shared" si="14"/>
        <v>88</v>
      </c>
      <c r="E245" s="42">
        <f t="shared" si="15"/>
        <v>733.33333333333326</v>
      </c>
    </row>
    <row r="246" spans="1:5">
      <c r="A246" s="28">
        <v>239</v>
      </c>
      <c r="B246" s="42">
        <f t="shared" si="12"/>
        <v>88.589833614315395</v>
      </c>
      <c r="C246" s="42">
        <f t="shared" si="13"/>
        <v>776.41140908744114</v>
      </c>
      <c r="D246" s="28">
        <f t="shared" si="14"/>
        <v>89</v>
      </c>
      <c r="E246" s="42">
        <f t="shared" si="15"/>
        <v>809.09090909090912</v>
      </c>
    </row>
    <row r="247" spans="1:5">
      <c r="A247" s="28">
        <v>240</v>
      </c>
      <c r="B247" s="42">
        <f t="shared" si="12"/>
        <v>88.710906940800996</v>
      </c>
      <c r="C247" s="42">
        <f t="shared" si="13"/>
        <v>785.81075092222954</v>
      </c>
      <c r="D247" s="28">
        <f t="shared" si="14"/>
        <v>89</v>
      </c>
      <c r="E247" s="42">
        <f t="shared" si="15"/>
        <v>809.09090909090912</v>
      </c>
    </row>
    <row r="248" spans="1:5">
      <c r="A248" s="28">
        <v>241</v>
      </c>
      <c r="B248" s="42">
        <f t="shared" si="12"/>
        <v>88.831504801441142</v>
      </c>
      <c r="C248" s="42">
        <f t="shared" si="13"/>
        <v>795.37577106093613</v>
      </c>
      <c r="D248" s="28">
        <f t="shared" si="14"/>
        <v>89</v>
      </c>
      <c r="E248" s="42">
        <f t="shared" si="15"/>
        <v>809.09090909090912</v>
      </c>
    </row>
    <row r="249" spans="1:5">
      <c r="A249" s="28">
        <v>242</v>
      </c>
      <c r="B249" s="42">
        <f t="shared" si="12"/>
        <v>88.951630916026971</v>
      </c>
      <c r="C249" s="42">
        <f t="shared" si="13"/>
        <v>805.11096470393875</v>
      </c>
      <c r="D249" s="28">
        <f t="shared" si="14"/>
        <v>89</v>
      </c>
      <c r="E249" s="42">
        <f t="shared" si="15"/>
        <v>809.09090909090912</v>
      </c>
    </row>
    <row r="250" spans="1:5">
      <c r="A250" s="28">
        <v>243</v>
      </c>
      <c r="B250" s="42">
        <f t="shared" si="12"/>
        <v>89.071288960867122</v>
      </c>
      <c r="C250" s="42">
        <f t="shared" si="13"/>
        <v>815.02099050771812</v>
      </c>
      <c r="D250" s="28">
        <f t="shared" si="14"/>
        <v>89</v>
      </c>
      <c r="E250" s="42">
        <f t="shared" si="15"/>
        <v>809.09090909090912</v>
      </c>
    </row>
    <row r="251" spans="1:5">
      <c r="A251" s="28">
        <v>244</v>
      </c>
      <c r="B251" s="42">
        <f t="shared" si="12"/>
        <v>89.190482569462873</v>
      </c>
      <c r="C251" s="42">
        <f t="shared" si="13"/>
        <v>825.11067809093652</v>
      </c>
      <c r="D251" s="28">
        <f t="shared" si="14"/>
        <v>89</v>
      </c>
      <c r="E251" s="42">
        <f t="shared" si="15"/>
        <v>809.09090909090912</v>
      </c>
    </row>
    <row r="252" spans="1:5">
      <c r="A252" s="28">
        <v>245</v>
      </c>
      <c r="B252" s="42">
        <f t="shared" si="12"/>
        <v>89.309215333170201</v>
      </c>
      <c r="C252" s="42">
        <f t="shared" si="13"/>
        <v>835.38503595782925</v>
      </c>
      <c r="D252" s="28">
        <f t="shared" si="14"/>
        <v>89</v>
      </c>
      <c r="E252" s="42">
        <f t="shared" si="15"/>
        <v>809.09090909090912</v>
      </c>
    </row>
    <row r="253" spans="1:5">
      <c r="A253" s="28">
        <v>246</v>
      </c>
      <c r="B253" s="42">
        <f t="shared" si="12"/>
        <v>89.427490801849004</v>
      </c>
      <c r="C253" s="42">
        <f t="shared" si="13"/>
        <v>845.84925986622727</v>
      </c>
      <c r="D253" s="28">
        <f t="shared" si="14"/>
        <v>89</v>
      </c>
      <c r="E253" s="42">
        <f t="shared" si="15"/>
        <v>809.09090909090912</v>
      </c>
    </row>
    <row r="254" spans="1:5">
      <c r="A254" s="28">
        <v>247</v>
      </c>
      <c r="B254" s="42">
        <f t="shared" si="12"/>
        <v>89.545312484499973</v>
      </c>
      <c r="C254" s="42">
        <f t="shared" si="13"/>
        <v>856.50874166961853</v>
      </c>
      <c r="D254" s="28">
        <f t="shared" si="14"/>
        <v>90</v>
      </c>
      <c r="E254" s="42">
        <f t="shared" si="15"/>
        <v>900</v>
      </c>
    </row>
    <row r="255" spans="1:5">
      <c r="A255" s="28">
        <v>248</v>
      </c>
      <c r="B255" s="42">
        <f t="shared" si="12"/>
        <v>89.662683849889248</v>
      </c>
      <c r="C255" s="42">
        <f t="shared" si="13"/>
        <v>867.36907866485853</v>
      </c>
      <c r="D255" s="28">
        <f t="shared" si="14"/>
        <v>90</v>
      </c>
      <c r="E255" s="42">
        <f t="shared" si="15"/>
        <v>900</v>
      </c>
    </row>
    <row r="256" spans="1:5">
      <c r="A256" s="28">
        <v>249</v>
      </c>
      <c r="B256" s="42">
        <f t="shared" si="12"/>
        <v>89.779608327161228</v>
      </c>
      <c r="C256" s="42">
        <f t="shared" si="13"/>
        <v>878.43608347961106</v>
      </c>
      <c r="D256" s="28">
        <f t="shared" si="14"/>
        <v>90</v>
      </c>
      <c r="E256" s="42">
        <f t="shared" si="15"/>
        <v>900</v>
      </c>
    </row>
    <row r="257" spans="1:5">
      <c r="A257" s="28">
        <v>250</v>
      </c>
      <c r="B257" s="42">
        <f t="shared" si="12"/>
        <v>89.896089306439606</v>
      </c>
      <c r="C257" s="42">
        <f t="shared" si="13"/>
        <v>889.71579453620654</v>
      </c>
      <c r="D257" s="28">
        <f t="shared" si="14"/>
        <v>90</v>
      </c>
      <c r="E257" s="42">
        <f t="shared" si="15"/>
        <v>900</v>
      </c>
    </row>
    <row r="258" spans="1:5">
      <c r="A258" s="28">
        <v>251</v>
      </c>
      <c r="B258" s="42">
        <f t="shared" si="12"/>
        <v>90.012130139417323</v>
      </c>
      <c r="C258" s="42">
        <f t="shared" si="13"/>
        <v>901.21448713155485</v>
      </c>
      <c r="D258" s="28">
        <f t="shared" si="14"/>
        <v>90</v>
      </c>
      <c r="E258" s="42">
        <f t="shared" si="15"/>
        <v>900</v>
      </c>
    </row>
    <row r="259" spans="1:5">
      <c r="A259" s="28">
        <v>252</v>
      </c>
      <c r="B259" s="42">
        <f t="shared" si="12"/>
        <v>90.127734139935086</v>
      </c>
      <c r="C259" s="42">
        <f t="shared" si="13"/>
        <v>912.93868517579074</v>
      </c>
      <c r="D259" s="28">
        <f t="shared" si="14"/>
        <v>90</v>
      </c>
      <c r="E259" s="42">
        <f t="shared" si="15"/>
        <v>900</v>
      </c>
    </row>
    <row r="260" spans="1:5">
      <c r="A260" s="28">
        <v>253</v>
      </c>
      <c r="B260" s="42">
        <f t="shared" si="12"/>
        <v>90.242904584549322</v>
      </c>
      <c r="C260" s="42">
        <f t="shared" si="13"/>
        <v>924.89517363586242</v>
      </c>
      <c r="D260" s="28">
        <f t="shared" si="14"/>
        <v>90</v>
      </c>
      <c r="E260" s="42">
        <f t="shared" si="15"/>
        <v>900</v>
      </c>
    </row>
    <row r="261" spans="1:5">
      <c r="A261" s="28">
        <v>254</v>
      </c>
      <c r="B261" s="42">
        <f t="shared" si="12"/>
        <v>90.3576447130894</v>
      </c>
      <c r="C261" s="42">
        <f t="shared" si="13"/>
        <v>937.09101173391718</v>
      </c>
      <c r="D261" s="28">
        <f t="shared" si="14"/>
        <v>90</v>
      </c>
      <c r="E261" s="42">
        <f t="shared" si="15"/>
        <v>900</v>
      </c>
    </row>
    <row r="262" spans="1:5">
      <c r="A262" s="28">
        <v>255</v>
      </c>
      <c r="B262" s="42">
        <f t="shared" si="12"/>
        <v>90.471957729204419</v>
      </c>
      <c r="C262" s="42">
        <f t="shared" si="13"/>
        <v>949.53354695444807</v>
      </c>
      <c r="D262" s="28">
        <f t="shared" si="14"/>
        <v>90</v>
      </c>
      <c r="E262" s="42">
        <f t="shared" si="15"/>
        <v>900</v>
      </c>
    </row>
    <row r="263" spans="1:5">
      <c r="A263" s="28">
        <v>256</v>
      </c>
      <c r="B263" s="42">
        <f t="shared" si="12"/>
        <v>90.585846800900015</v>
      </c>
      <c r="C263" s="42">
        <f t="shared" si="13"/>
        <v>962.23042991864884</v>
      </c>
      <c r="D263" s="28">
        <f t="shared" si="14"/>
        <v>91</v>
      </c>
      <c r="E263" s="42">
        <f t="shared" si="15"/>
        <v>1011.1111111111111</v>
      </c>
    </row>
    <row r="264" spans="1:5">
      <c r="A264" s="28">
        <v>257</v>
      </c>
      <c r="B264" s="42">
        <f t="shared" ref="B264:B327" si="16">(100/SQRT(2))*LOG10((A264+10*SQRT(2))/(10*SQRT(2)))</f>
        <v>90.699315061065036</v>
      </c>
      <c r="C264" s="42">
        <f t="shared" ref="C264:C327" si="17">B264/(100-B264)*100</f>
        <v>975.18963018922727</v>
      </c>
      <c r="D264" s="28">
        <f t="shared" ref="D264:D327" si="18">ROUND((100/SQRT(2))*LOG10((A264+10*SQRT(2))/(10*SQRT(2))), 0)</f>
        <v>91</v>
      </c>
      <c r="E264" s="42">
        <f t="shared" ref="E264:E327" si="19">D264/(100-D264)*100</f>
        <v>1011.1111111111111</v>
      </c>
    </row>
    <row r="265" spans="1:5">
      <c r="A265" s="28">
        <v>258</v>
      </c>
      <c r="B265" s="42">
        <f t="shared" si="16"/>
        <v>90.812365607988866</v>
      </c>
      <c r="C265" s="42">
        <f t="shared" si="17"/>
        <v>988.41945307436663</v>
      </c>
      <c r="D265" s="28">
        <f t="shared" si="18"/>
        <v>91</v>
      </c>
      <c r="E265" s="42">
        <f t="shared" si="19"/>
        <v>1011.1111111111111</v>
      </c>
    </row>
    <row r="266" spans="1:5">
      <c r="A266" s="28">
        <v>259</v>
      </c>
      <c r="B266" s="42">
        <f t="shared" si="16"/>
        <v>90.925001505868764</v>
      </c>
      <c r="C266" s="42">
        <f t="shared" si="17"/>
        <v>1001.9285575052116</v>
      </c>
      <c r="D266" s="28">
        <f t="shared" si="18"/>
        <v>91</v>
      </c>
      <c r="E266" s="42">
        <f t="shared" si="19"/>
        <v>1011.1111111111111</v>
      </c>
    </row>
    <row r="267" spans="1:5">
      <c r="A267" s="28">
        <v>260</v>
      </c>
      <c r="B267" s="42">
        <f t="shared" si="16"/>
        <v>91.037225785308422</v>
      </c>
      <c r="C267" s="42">
        <f t="shared" si="17"/>
        <v>1015.7259750678785</v>
      </c>
      <c r="D267" s="28">
        <f t="shared" si="18"/>
        <v>91</v>
      </c>
      <c r="E267" s="42">
        <f t="shared" si="19"/>
        <v>1011.1111111111111</v>
      </c>
    </row>
    <row r="268" spans="1:5">
      <c r="A268" s="28">
        <v>261</v>
      </c>
      <c r="B268" s="42">
        <f t="shared" si="16"/>
        <v>91.149041443807221</v>
      </c>
      <c r="C268" s="42">
        <f t="shared" si="17"/>
        <v>1029.821130277835</v>
      </c>
      <c r="D268" s="28">
        <f t="shared" si="18"/>
        <v>91</v>
      </c>
      <c r="E268" s="42">
        <f t="shared" si="19"/>
        <v>1011.1111111111111</v>
      </c>
    </row>
    <row r="269" spans="1:5">
      <c r="A269" s="28">
        <v>262</v>
      </c>
      <c r="B269" s="42">
        <f t="shared" si="16"/>
        <v>91.260451446240509</v>
      </c>
      <c r="C269" s="42">
        <f t="shared" si="17"/>
        <v>1044.2238621923213</v>
      </c>
      <c r="D269" s="28">
        <f t="shared" si="18"/>
        <v>91</v>
      </c>
      <c r="E269" s="42">
        <f t="shared" si="19"/>
        <v>1011.1111111111111</v>
      </c>
    </row>
    <row r="270" spans="1:5">
      <c r="A270" s="28">
        <v>263</v>
      </c>
      <c r="B270" s="42">
        <f t="shared" si="16"/>
        <v>91.371458725331422</v>
      </c>
      <c r="C270" s="42">
        <f t="shared" si="17"/>
        <v>1058.9444474650322</v>
      </c>
      <c r="D270" s="28">
        <f t="shared" si="18"/>
        <v>91</v>
      </c>
      <c r="E270" s="42">
        <f t="shared" si="19"/>
        <v>1011.1111111111111</v>
      </c>
    </row>
    <row r="271" spans="1:5">
      <c r="A271" s="28">
        <v>264</v>
      </c>
      <c r="B271" s="42">
        <f t="shared" si="16"/>
        <v>91.482066182114082</v>
      </c>
      <c r="C271" s="42">
        <f t="shared" si="17"/>
        <v>1073.9936249565646</v>
      </c>
      <c r="D271" s="28">
        <f t="shared" si="18"/>
        <v>91</v>
      </c>
      <c r="E271" s="42">
        <f t="shared" si="19"/>
        <v>1011.1111111111111</v>
      </c>
    </row>
    <row r="272" spans="1:5">
      <c r="A272" s="28">
        <v>265</v>
      </c>
      <c r="B272" s="42">
        <f t="shared" si="16"/>
        <v>91.592276686388473</v>
      </c>
      <c r="C272" s="42">
        <f t="shared" si="17"/>
        <v>1089.3826220245244</v>
      </c>
      <c r="D272" s="28">
        <f t="shared" si="18"/>
        <v>92</v>
      </c>
      <c r="E272" s="42">
        <f t="shared" si="19"/>
        <v>1150</v>
      </c>
    </row>
    <row r="273" spans="1:5">
      <c r="A273" s="28">
        <v>266</v>
      </c>
      <c r="B273" s="42">
        <f t="shared" si="16"/>
        <v>91.702093077167262</v>
      </c>
      <c r="C273" s="42">
        <f t="shared" si="17"/>
        <v>1105.1231826285903</v>
      </c>
      <c r="D273" s="28">
        <f t="shared" si="18"/>
        <v>92</v>
      </c>
      <c r="E273" s="42">
        <f t="shared" si="19"/>
        <v>1150</v>
      </c>
    </row>
    <row r="274" spans="1:5">
      <c r="A274" s="28">
        <v>267</v>
      </c>
      <c r="B274" s="42">
        <f t="shared" si="16"/>
        <v>91.811518163114599</v>
      </c>
      <c r="C274" s="42">
        <f t="shared" si="17"/>
        <v>1121.2275973984003</v>
      </c>
      <c r="D274" s="28">
        <f t="shared" si="18"/>
        <v>92</v>
      </c>
      <c r="E274" s="42">
        <f t="shared" si="19"/>
        <v>1150</v>
      </c>
    </row>
    <row r="275" spans="1:5">
      <c r="A275" s="28">
        <v>268</v>
      </c>
      <c r="B275" s="42">
        <f t="shared" si="16"/>
        <v>91.920554722977116</v>
      </c>
      <c r="C275" s="42">
        <f t="shared" si="17"/>
        <v>1137.7087358260817</v>
      </c>
      <c r="D275" s="28">
        <f t="shared" si="18"/>
        <v>92</v>
      </c>
      <c r="E275" s="42">
        <f t="shared" si="19"/>
        <v>1150</v>
      </c>
    </row>
    <row r="276" spans="1:5">
      <c r="A276" s="28">
        <v>269</v>
      </c>
      <c r="B276" s="42">
        <f t="shared" si="16"/>
        <v>92.029205506007344</v>
      </c>
      <c r="C276" s="42">
        <f t="shared" si="17"/>
        <v>1154.5800807606688</v>
      </c>
      <c r="D276" s="28">
        <f t="shared" si="18"/>
        <v>92</v>
      </c>
      <c r="E276" s="42">
        <f t="shared" si="19"/>
        <v>1150</v>
      </c>
    </row>
    <row r="277" spans="1:5">
      <c r="A277" s="28">
        <v>270</v>
      </c>
      <c r="B277" s="42">
        <f t="shared" si="16"/>
        <v>92.137473232379676</v>
      </c>
      <c r="C277" s="42">
        <f t="shared" si="17"/>
        <v>1171.8557653987618</v>
      </c>
      <c r="D277" s="28">
        <f t="shared" si="18"/>
        <v>92</v>
      </c>
      <c r="E277" s="42">
        <f t="shared" si="19"/>
        <v>1150</v>
      </c>
    </row>
    <row r="278" spans="1:5">
      <c r="A278" s="28">
        <v>271</v>
      </c>
      <c r="B278" s="42">
        <f t="shared" si="16"/>
        <v>92.245360593598974</v>
      </c>
      <c r="C278" s="42">
        <f t="shared" si="17"/>
        <v>1189.5506129847317</v>
      </c>
      <c r="D278" s="28">
        <f t="shared" si="18"/>
        <v>92</v>
      </c>
      <c r="E278" s="42">
        <f t="shared" si="19"/>
        <v>1150</v>
      </c>
    </row>
    <row r="279" spans="1:5">
      <c r="A279" s="28">
        <v>272</v>
      </c>
      <c r="B279" s="42">
        <f t="shared" si="16"/>
        <v>92.352870252902008</v>
      </c>
      <c r="C279" s="42">
        <f t="shared" si="17"/>
        <v>1207.6801794548992</v>
      </c>
      <c r="D279" s="28">
        <f t="shared" si="18"/>
        <v>92</v>
      </c>
      <c r="E279" s="42">
        <f t="shared" si="19"/>
        <v>1150</v>
      </c>
    </row>
    <row r="280" spans="1:5">
      <c r="A280" s="28">
        <v>273</v>
      </c>
      <c r="B280" s="42">
        <f t="shared" si="16"/>
        <v>92.460004845652008</v>
      </c>
      <c r="C280" s="42">
        <f t="shared" si="17"/>
        <v>1226.2607992835949</v>
      </c>
      <c r="D280" s="28">
        <f t="shared" si="18"/>
        <v>92</v>
      </c>
      <c r="E280" s="42">
        <f t="shared" si="19"/>
        <v>1150</v>
      </c>
    </row>
    <row r="281" spans="1:5">
      <c r="A281" s="28">
        <v>274</v>
      </c>
      <c r="B281" s="42">
        <f t="shared" si="16"/>
        <v>92.566766979726196</v>
      </c>
      <c r="C281" s="42">
        <f t="shared" si="17"/>
        <v>1245.3096348150873</v>
      </c>
      <c r="D281" s="28">
        <f t="shared" si="18"/>
        <v>93</v>
      </c>
      <c r="E281" s="42">
        <f t="shared" si="19"/>
        <v>1328.5714285714287</v>
      </c>
    </row>
    <row r="282" spans="1:5">
      <c r="A282" s="28">
        <v>275</v>
      </c>
      <c r="B282" s="42">
        <f t="shared" si="16"/>
        <v>92.673159235896776</v>
      </c>
      <c r="C282" s="42">
        <f t="shared" si="17"/>
        <v>1264.8447293946288</v>
      </c>
      <c r="D282" s="28">
        <f t="shared" si="18"/>
        <v>93</v>
      </c>
      <c r="E282" s="42">
        <f t="shared" si="19"/>
        <v>1328.5714285714287</v>
      </c>
    </row>
    <row r="283" spans="1:5">
      <c r="A283" s="28">
        <v>276</v>
      </c>
      <c r="B283" s="42">
        <f t="shared" si="16"/>
        <v>92.779184168205205</v>
      </c>
      <c r="C283" s="42">
        <f t="shared" si="17"/>
        <v>1284.8850646443389</v>
      </c>
      <c r="D283" s="28">
        <f t="shared" si="18"/>
        <v>93</v>
      </c>
      <c r="E283" s="42">
        <f t="shared" si="19"/>
        <v>1328.5714285714287</v>
      </c>
    </row>
    <row r="284" spans="1:5">
      <c r="A284" s="28">
        <v>277</v>
      </c>
      <c r="B284" s="42">
        <f t="shared" si="16"/>
        <v>92.884844304330031</v>
      </c>
      <c r="C284" s="42">
        <f t="shared" si="17"/>
        <v>1305.4506222661639</v>
      </c>
      <c r="D284" s="28">
        <f t="shared" si="18"/>
        <v>93</v>
      </c>
      <c r="E284" s="42">
        <f t="shared" si="19"/>
        <v>1328.5714285714287</v>
      </c>
    </row>
    <row r="285" spans="1:5">
      <c r="A285" s="28">
        <v>278</v>
      </c>
      <c r="B285" s="42">
        <f t="shared" si="16"/>
        <v>92.990142145948653</v>
      </c>
      <c r="C285" s="42">
        <f t="shared" si="17"/>
        <v>1326.5624507949901</v>
      </c>
      <c r="D285" s="28">
        <f t="shared" si="18"/>
        <v>93</v>
      </c>
      <c r="E285" s="42">
        <f t="shared" si="19"/>
        <v>1328.5714285714287</v>
      </c>
    </row>
    <row r="286" spans="1:5">
      <c r="A286" s="28">
        <v>279</v>
      </c>
      <c r="B286" s="42">
        <f t="shared" si="16"/>
        <v>93.095080169092483</v>
      </c>
      <c r="C286" s="42">
        <f t="shared" si="17"/>
        <v>1348.2427377705985</v>
      </c>
      <c r="D286" s="28">
        <f t="shared" si="18"/>
        <v>93</v>
      </c>
      <c r="E286" s="42">
        <f t="shared" si="19"/>
        <v>1328.5714285714287</v>
      </c>
    </row>
    <row r="287" spans="1:5">
      <c r="A287" s="28">
        <v>280</v>
      </c>
      <c r="B287" s="42">
        <f t="shared" si="16"/>
        <v>93.19966082449649</v>
      </c>
      <c r="C287" s="42">
        <f t="shared" si="17"/>
        <v>1370.5148878488965</v>
      </c>
      <c r="D287" s="28">
        <f t="shared" si="18"/>
        <v>93</v>
      </c>
      <c r="E287" s="42">
        <f t="shared" si="19"/>
        <v>1328.5714285714287</v>
      </c>
    </row>
    <row r="288" spans="1:5">
      <c r="A288" s="28">
        <v>281</v>
      </c>
      <c r="B288" s="42">
        <f t="shared" si="16"/>
        <v>93.303886537942518</v>
      </c>
      <c r="C288" s="42">
        <f t="shared" si="17"/>
        <v>1393.4036074304136</v>
      </c>
      <c r="D288" s="28">
        <f t="shared" si="18"/>
        <v>93</v>
      </c>
      <c r="E288" s="42">
        <f t="shared" si="19"/>
        <v>1328.5714285714287</v>
      </c>
    </row>
    <row r="289" spans="1:5">
      <c r="A289" s="28">
        <v>282</v>
      </c>
      <c r="B289" s="42">
        <f t="shared" si="16"/>
        <v>93.40775971059692</v>
      </c>
      <c r="C289" s="42">
        <f t="shared" si="17"/>
        <v>1416.9349964495134</v>
      </c>
      <c r="D289" s="28">
        <f t="shared" si="18"/>
        <v>93</v>
      </c>
      <c r="E289" s="42">
        <f t="shared" si="19"/>
        <v>1328.5714285714287</v>
      </c>
    </row>
    <row r="290" spans="1:5">
      <c r="A290" s="28">
        <v>283</v>
      </c>
      <c r="B290" s="42">
        <f t="shared" si="16"/>
        <v>93.511282719342532</v>
      </c>
      <c r="C290" s="42">
        <f t="shared" si="17"/>
        <v>1441.136648041283</v>
      </c>
      <c r="D290" s="28">
        <f t="shared" si="18"/>
        <v>94</v>
      </c>
      <c r="E290" s="42">
        <f t="shared" si="19"/>
        <v>1566.6666666666665</v>
      </c>
    </row>
    <row r="291" spans="1:5">
      <c r="A291" s="28">
        <v>284</v>
      </c>
      <c r="B291" s="42">
        <f t="shared" si="16"/>
        <v>93.614457917104943</v>
      </c>
      <c r="C291" s="42">
        <f t="shared" si="17"/>
        <v>1466.0377568862928</v>
      </c>
      <c r="D291" s="28">
        <f t="shared" si="18"/>
        <v>94</v>
      </c>
      <c r="E291" s="42">
        <f t="shared" si="19"/>
        <v>1566.6666666666665</v>
      </c>
    </row>
    <row r="292" spans="1:5">
      <c r="A292" s="28">
        <v>285</v>
      </c>
      <c r="B292" s="42">
        <f t="shared" si="16"/>
        <v>93.717287633173427</v>
      </c>
      <c r="C292" s="42">
        <f t="shared" si="17"/>
        <v>1491.6692371277609</v>
      </c>
      <c r="D292" s="28">
        <f t="shared" si="18"/>
        <v>94</v>
      </c>
      <c r="E292" s="42">
        <f t="shared" si="19"/>
        <v>1566.6666666666665</v>
      </c>
    </row>
    <row r="293" spans="1:5">
      <c r="A293" s="28">
        <v>286</v>
      </c>
      <c r="B293" s="42">
        <f t="shared" si="16"/>
        <v>93.819774173516464</v>
      </c>
      <c r="C293" s="42">
        <f t="shared" si="17"/>
        <v>1518.0638508625282</v>
      </c>
      <c r="D293" s="28">
        <f t="shared" si="18"/>
        <v>94</v>
      </c>
      <c r="E293" s="42">
        <f t="shared" si="19"/>
        <v>1566.6666666666665</v>
      </c>
    </row>
    <row r="294" spans="1:5">
      <c r="A294" s="28">
        <v>287</v>
      </c>
      <c r="B294" s="42">
        <f t="shared" si="16"/>
        <v>93.921919821092004</v>
      </c>
      <c r="C294" s="42">
        <f t="shared" si="17"/>
        <v>1545.2563483288282</v>
      </c>
      <c r="D294" s="28">
        <f t="shared" si="18"/>
        <v>94</v>
      </c>
      <c r="E294" s="42">
        <f t="shared" si="19"/>
        <v>1566.6666666666665</v>
      </c>
    </row>
    <row r="295" spans="1:5">
      <c r="A295" s="28">
        <v>288</v>
      </c>
      <c r="B295" s="42">
        <f t="shared" si="16"/>
        <v>94.023726836152605</v>
      </c>
      <c r="C295" s="42">
        <f t="shared" si="17"/>
        <v>1573.2836210522573</v>
      </c>
      <c r="D295" s="28">
        <f t="shared" si="18"/>
        <v>94</v>
      </c>
      <c r="E295" s="42">
        <f t="shared" si="19"/>
        <v>1566.6666666666665</v>
      </c>
    </row>
    <row r="296" spans="1:5">
      <c r="A296" s="28">
        <v>289</v>
      </c>
      <c r="B296" s="42">
        <f t="shared" si="16"/>
        <v>94.125197456545592</v>
      </c>
      <c r="C296" s="42">
        <f t="shared" si="17"/>
        <v>1602.1848693692366</v>
      </c>
      <c r="D296" s="28">
        <f t="shared" si="18"/>
        <v>94</v>
      </c>
      <c r="E296" s="42">
        <f t="shared" si="19"/>
        <v>1566.6666666666665</v>
      </c>
    </row>
    <row r="297" spans="1:5">
      <c r="A297" s="28">
        <v>290</v>
      </c>
      <c r="B297" s="42">
        <f t="shared" si="16"/>
        <v>94.226333898008136</v>
      </c>
      <c r="C297" s="42">
        <f t="shared" si="17"/>
        <v>1632.0017859276775</v>
      </c>
      <c r="D297" s="28">
        <f t="shared" si="18"/>
        <v>94</v>
      </c>
      <c r="E297" s="42">
        <f t="shared" si="19"/>
        <v>1566.6666666666665</v>
      </c>
    </row>
    <row r="298" spans="1:5">
      <c r="A298" s="28">
        <v>291</v>
      </c>
      <c r="B298" s="42">
        <f t="shared" si="16"/>
        <v>94.32713835445756</v>
      </c>
      <c r="C298" s="42">
        <f t="shared" si="17"/>
        <v>1662.7787569713942</v>
      </c>
      <c r="D298" s="28">
        <f t="shared" si="18"/>
        <v>94</v>
      </c>
      <c r="E298" s="42">
        <f t="shared" si="19"/>
        <v>1566.6666666666665</v>
      </c>
    </row>
    <row r="299" spans="1:5">
      <c r="A299" s="28">
        <v>292</v>
      </c>
      <c r="B299" s="42">
        <f t="shared" si="16"/>
        <v>94.427612998276985</v>
      </c>
      <c r="C299" s="42">
        <f t="shared" si="17"/>
        <v>1694.563083452018</v>
      </c>
      <c r="D299" s="28">
        <f t="shared" si="18"/>
        <v>94</v>
      </c>
      <c r="E299" s="42">
        <f t="shared" si="19"/>
        <v>1566.6666666666665</v>
      </c>
    </row>
    <row r="300" spans="1:5">
      <c r="A300" s="28">
        <v>293</v>
      </c>
      <c r="B300" s="42">
        <f t="shared" si="16"/>
        <v>94.527759980596144</v>
      </c>
      <c r="C300" s="42">
        <f t="shared" si="17"/>
        <v>1727.4052242849898</v>
      </c>
      <c r="D300" s="28">
        <f t="shared" si="18"/>
        <v>95</v>
      </c>
      <c r="E300" s="42">
        <f t="shared" si="19"/>
        <v>1900</v>
      </c>
    </row>
    <row r="301" spans="1:5">
      <c r="A301" s="28">
        <v>294</v>
      </c>
      <c r="B301" s="42">
        <f t="shared" si="16"/>
        <v>94.627581431567776</v>
      </c>
      <c r="C301" s="42">
        <f t="shared" si="17"/>
        <v>1761.3590643809787</v>
      </c>
      <c r="D301" s="28">
        <f t="shared" si="18"/>
        <v>95</v>
      </c>
      <c r="E301" s="42">
        <f t="shared" si="19"/>
        <v>1900</v>
      </c>
    </row>
    <row r="302" spans="1:5">
      <c r="A302" s="28">
        <v>295</v>
      </c>
      <c r="B302" s="42">
        <f t="shared" si="16"/>
        <v>94.727079460639473</v>
      </c>
      <c r="C302" s="42">
        <f t="shared" si="17"/>
        <v>1796.4822104474099</v>
      </c>
      <c r="D302" s="28">
        <f t="shared" si="18"/>
        <v>95</v>
      </c>
      <c r="E302" s="42">
        <f t="shared" si="19"/>
        <v>1900</v>
      </c>
    </row>
    <row r="303" spans="1:5">
      <c r="A303" s="28">
        <v>296</v>
      </c>
      <c r="B303" s="42">
        <f t="shared" si="16"/>
        <v>94.826256156821159</v>
      </c>
      <c r="C303" s="42">
        <f t="shared" si="17"/>
        <v>1832.8363179758474</v>
      </c>
      <c r="D303" s="28">
        <f t="shared" si="18"/>
        <v>95</v>
      </c>
      <c r="E303" s="42">
        <f t="shared" si="19"/>
        <v>1900</v>
      </c>
    </row>
    <row r="304" spans="1:5">
      <c r="A304" s="28">
        <v>297</v>
      </c>
      <c r="B304" s="42">
        <f t="shared" si="16"/>
        <v>94.925113588948236</v>
      </c>
      <c r="C304" s="42">
        <f t="shared" si="17"/>
        <v>1870.4874533196719</v>
      </c>
      <c r="D304" s="28">
        <f t="shared" si="18"/>
        <v>95</v>
      </c>
      <c r="E304" s="42">
        <f t="shared" si="19"/>
        <v>1900</v>
      </c>
    </row>
    <row r="305" spans="1:5">
      <c r="A305" s="28">
        <v>298</v>
      </c>
      <c r="B305" s="42">
        <f t="shared" si="16"/>
        <v>95.023653805940555</v>
      </c>
      <c r="C305" s="42">
        <f t="shared" si="17"/>
        <v>1909.5064953353894</v>
      </c>
      <c r="D305" s="28">
        <f t="shared" si="18"/>
        <v>95</v>
      </c>
      <c r="E305" s="42">
        <f t="shared" si="19"/>
        <v>1900</v>
      </c>
    </row>
    <row r="306" spans="1:5">
      <c r="A306" s="28">
        <v>299</v>
      </c>
      <c r="B306" s="42">
        <f t="shared" si="16"/>
        <v>95.121878837057224</v>
      </c>
      <c r="C306" s="42">
        <f t="shared" si="17"/>
        <v>1949.9695817246572</v>
      </c>
      <c r="D306" s="28">
        <f t="shared" si="18"/>
        <v>95</v>
      </c>
      <c r="E306" s="42">
        <f t="shared" si="19"/>
        <v>1900</v>
      </c>
    </row>
    <row r="307" spans="1:5">
      <c r="A307" s="28">
        <v>300</v>
      </c>
      <c r="B307" s="42">
        <f t="shared" si="16"/>
        <v>95.219790692147313</v>
      </c>
      <c r="C307" s="42">
        <f t="shared" si="17"/>
        <v>1991.9586059908518</v>
      </c>
      <c r="D307" s="28">
        <f t="shared" si="18"/>
        <v>95</v>
      </c>
      <c r="E307" s="42">
        <f t="shared" si="19"/>
        <v>1900</v>
      </c>
    </row>
    <row r="308" spans="1:5">
      <c r="A308" s="28">
        <v>301</v>
      </c>
      <c r="B308" s="42">
        <f t="shared" si="16"/>
        <v>95.31739136189664</v>
      </c>
      <c r="C308" s="42">
        <f t="shared" si="17"/>
        <v>2035.5617718354508</v>
      </c>
      <c r="D308" s="28">
        <f t="shared" si="18"/>
        <v>95</v>
      </c>
      <c r="E308" s="42">
        <f t="shared" si="19"/>
        <v>1900</v>
      </c>
    </row>
    <row r="309" spans="1:5">
      <c r="A309" s="28">
        <v>302</v>
      </c>
      <c r="B309" s="42">
        <f t="shared" si="16"/>
        <v>95.414682818070645</v>
      </c>
      <c r="C309" s="42">
        <f t="shared" si="17"/>
        <v>2080.8742128919243</v>
      </c>
      <c r="D309" s="28">
        <f t="shared" si="18"/>
        <v>95</v>
      </c>
      <c r="E309" s="42">
        <f t="shared" si="19"/>
        <v>1900</v>
      </c>
    </row>
    <row r="310" spans="1:5">
      <c r="A310" s="28">
        <v>303</v>
      </c>
      <c r="B310" s="42">
        <f t="shared" si="16"/>
        <v>95.511667013753325</v>
      </c>
      <c r="C310" s="42">
        <f t="shared" si="17"/>
        <v>2127.9986869607023</v>
      </c>
      <c r="D310" s="28">
        <f t="shared" si="18"/>
        <v>96</v>
      </c>
      <c r="E310" s="42">
        <f t="shared" si="19"/>
        <v>2400</v>
      </c>
    </row>
    <row r="311" spans="1:5">
      <c r="A311" s="28">
        <v>304</v>
      </c>
      <c r="B311" s="42">
        <f t="shared" si="16"/>
        <v>95.608345883582615</v>
      </c>
      <c r="C311" s="42">
        <f t="shared" si="17"/>
        <v>2177.0463554078297</v>
      </c>
      <c r="D311" s="28">
        <f t="shared" si="18"/>
        <v>96</v>
      </c>
      <c r="E311" s="42">
        <f t="shared" si="19"/>
        <v>2400</v>
      </c>
    </row>
    <row r="312" spans="1:5">
      <c r="A312" s="28">
        <v>305</v>
      </c>
      <c r="B312" s="42">
        <f t="shared" si="16"/>
        <v>95.704721343981788</v>
      </c>
      <c r="C312" s="42">
        <f t="shared" si="17"/>
        <v>2228.1376601699112</v>
      </c>
      <c r="D312" s="28">
        <f t="shared" si="18"/>
        <v>96</v>
      </c>
      <c r="E312" s="42">
        <f t="shared" si="19"/>
        <v>2400</v>
      </c>
    </row>
    <row r="313" spans="1:5">
      <c r="A313" s="28">
        <v>306</v>
      </c>
      <c r="B313" s="42">
        <f t="shared" si="16"/>
        <v>95.800795293387523</v>
      </c>
      <c r="C313" s="42">
        <f t="shared" si="17"/>
        <v>2281.4033129304285</v>
      </c>
      <c r="D313" s="28">
        <f t="shared" si="18"/>
        <v>96</v>
      </c>
      <c r="E313" s="42">
        <f t="shared" si="19"/>
        <v>2400</v>
      </c>
    </row>
    <row r="314" spans="1:5">
      <c r="A314" s="28">
        <v>307</v>
      </c>
      <c r="B314" s="42">
        <f t="shared" si="16"/>
        <v>95.896569612474224</v>
      </c>
      <c r="C314" s="42">
        <f t="shared" si="17"/>
        <v>2336.9854135699493</v>
      </c>
      <c r="D314" s="28">
        <f t="shared" si="18"/>
        <v>96</v>
      </c>
      <c r="E314" s="42">
        <f t="shared" si="19"/>
        <v>2400</v>
      </c>
    </row>
    <row r="315" spans="1:5">
      <c r="A315" s="28">
        <v>308</v>
      </c>
      <c r="B315" s="42">
        <f t="shared" si="16"/>
        <v>95.992046164374912</v>
      </c>
      <c r="C315" s="42">
        <f t="shared" si="17"/>
        <v>2395.0387180396206</v>
      </c>
      <c r="D315" s="28">
        <f t="shared" si="18"/>
        <v>96</v>
      </c>
      <c r="E315" s="42">
        <f t="shared" si="19"/>
        <v>2400</v>
      </c>
    </row>
    <row r="316" spans="1:5">
      <c r="A316" s="28">
        <v>309</v>
      </c>
      <c r="B316" s="42">
        <f t="shared" si="16"/>
        <v>96.087226794898768</v>
      </c>
      <c r="C316" s="42">
        <f t="shared" si="17"/>
        <v>2455.7320794782122</v>
      </c>
      <c r="D316" s="28">
        <f t="shared" si="18"/>
        <v>96</v>
      </c>
      <c r="E316" s="42">
        <f t="shared" si="19"/>
        <v>2400</v>
      </c>
    </row>
    <row r="317" spans="1:5">
      <c r="A317" s="28">
        <v>310</v>
      </c>
      <c r="B317" s="42">
        <f t="shared" si="16"/>
        <v>96.182113332745132</v>
      </c>
      <c r="C317" s="42">
        <f t="shared" si="17"/>
        <v>2519.2500908336779</v>
      </c>
      <c r="D317" s="28">
        <f t="shared" si="18"/>
        <v>96</v>
      </c>
      <c r="E317" s="42">
        <f t="shared" si="19"/>
        <v>2400</v>
      </c>
    </row>
    <row r="318" spans="1:5">
      <c r="A318" s="28">
        <v>311</v>
      </c>
      <c r="B318" s="42">
        <f t="shared" si="16"/>
        <v>96.276707589714462</v>
      </c>
      <c r="C318" s="42">
        <f t="shared" si="17"/>
        <v>2585.7949626451996</v>
      </c>
      <c r="D318" s="28">
        <f t="shared" si="18"/>
        <v>96</v>
      </c>
      <c r="E318" s="42">
        <f t="shared" si="19"/>
        <v>2400</v>
      </c>
    </row>
    <row r="319" spans="1:5">
      <c r="A319" s="28">
        <v>312</v>
      </c>
      <c r="B319" s="42">
        <f t="shared" si="16"/>
        <v>96.37101136091573</v>
      </c>
      <c r="C319" s="42">
        <f t="shared" si="17"/>
        <v>2655.5886762223031</v>
      </c>
      <c r="D319" s="28">
        <f t="shared" si="18"/>
        <v>96</v>
      </c>
      <c r="E319" s="42">
        <f t="shared" si="19"/>
        <v>2400</v>
      </c>
    </row>
    <row r="320" spans="1:5">
      <c r="A320" s="28">
        <v>313</v>
      </c>
      <c r="B320" s="42">
        <f t="shared" si="16"/>
        <v>96.465026424971015</v>
      </c>
      <c r="C320" s="42">
        <f t="shared" si="17"/>
        <v>2728.8754605239178</v>
      </c>
      <c r="D320" s="28">
        <f t="shared" si="18"/>
        <v>96</v>
      </c>
      <c r="E320" s="42">
        <f t="shared" si="19"/>
        <v>2400</v>
      </c>
    </row>
    <row r="321" spans="1:5">
      <c r="A321" s="28">
        <v>314</v>
      </c>
      <c r="B321" s="42">
        <f t="shared" si="16"/>
        <v>96.55875454421664</v>
      </c>
      <c r="C321" s="42">
        <f t="shared" si="17"/>
        <v>2805.9246509701866</v>
      </c>
      <c r="D321" s="28">
        <f t="shared" si="18"/>
        <v>97</v>
      </c>
      <c r="E321" s="42">
        <f t="shared" si="19"/>
        <v>3233.3333333333335</v>
      </c>
    </row>
    <row r="322" spans="1:5">
      <c r="A322" s="28">
        <v>315</v>
      </c>
      <c r="B322" s="42">
        <f t="shared" si="16"/>
        <v>96.652197464901448</v>
      </c>
      <c r="C322" s="42">
        <f t="shared" si="17"/>
        <v>2887.0340007092509</v>
      </c>
      <c r="D322" s="28">
        <f t="shared" si="18"/>
        <v>97</v>
      </c>
      <c r="E322" s="42">
        <f t="shared" si="19"/>
        <v>3233.3333333333335</v>
      </c>
    </row>
    <row r="323" spans="1:5">
      <c r="A323" s="28">
        <v>316</v>
      </c>
      <c r="B323" s="42">
        <f t="shared" si="16"/>
        <v>96.745356917382026</v>
      </c>
      <c r="C323" s="42">
        <f t="shared" si="17"/>
        <v>2972.5335301455502</v>
      </c>
      <c r="D323" s="28">
        <f t="shared" si="18"/>
        <v>97</v>
      </c>
      <c r="E323" s="42">
        <f t="shared" si="19"/>
        <v>3233.3333333333335</v>
      </c>
    </row>
    <row r="324" spans="1:5">
      <c r="A324" s="28">
        <v>317</v>
      </c>
      <c r="B324" s="42">
        <f t="shared" si="16"/>
        <v>96.838234616314949</v>
      </c>
      <c r="C324" s="42">
        <f t="shared" si="17"/>
        <v>3062.7900196519195</v>
      </c>
      <c r="D324" s="28">
        <f t="shared" si="18"/>
        <v>97</v>
      </c>
      <c r="E324" s="42">
        <f t="shared" si="19"/>
        <v>3233.3333333333335</v>
      </c>
    </row>
    <row r="325" spans="1:5">
      <c r="A325" s="28">
        <v>318</v>
      </c>
      <c r="B325" s="42">
        <f t="shared" si="16"/>
        <v>96.930832260846117</v>
      </c>
      <c r="C325" s="42">
        <f t="shared" si="17"/>
        <v>3158.2122744313833</v>
      </c>
      <c r="D325" s="28">
        <f t="shared" si="18"/>
        <v>97</v>
      </c>
      <c r="E325" s="42">
        <f t="shared" si="19"/>
        <v>3233.3333333333335</v>
      </c>
    </row>
    <row r="326" spans="1:5">
      <c r="A326" s="28">
        <v>319</v>
      </c>
      <c r="B326" s="42">
        <f t="shared" si="16"/>
        <v>97.023151534797307</v>
      </c>
      <c r="C326" s="42">
        <f t="shared" si="17"/>
        <v>3259.2573209194584</v>
      </c>
      <c r="D326" s="28">
        <f t="shared" si="18"/>
        <v>97</v>
      </c>
      <c r="E326" s="42">
        <f t="shared" si="19"/>
        <v>3233.3333333333335</v>
      </c>
    </row>
    <row r="327" spans="1:5">
      <c r="A327" s="28">
        <v>320</v>
      </c>
      <c r="B327" s="42">
        <f t="shared" si="16"/>
        <v>97.115194106849899</v>
      </c>
      <c r="C327" s="42">
        <f t="shared" si="17"/>
        <v>3366.4377328626329</v>
      </c>
      <c r="D327" s="28">
        <f t="shared" si="18"/>
        <v>97</v>
      </c>
      <c r="E327" s="42">
        <f t="shared" si="19"/>
        <v>3233.3333333333335</v>
      </c>
    </row>
    <row r="328" spans="1:5">
      <c r="A328" s="28">
        <v>321</v>
      </c>
      <c r="B328" s="42">
        <f t="shared" ref="B328:B360" si="20">(100/SQRT(2))*LOG10((A328+10*SQRT(2))/(10*SQRT(2)))</f>
        <v>97.206961630725829</v>
      </c>
      <c r="C328" s="42">
        <f t="shared" ref="C328:C348" si="21">B328/(100-B328)*100</f>
        <v>3480.3303348814025</v>
      </c>
      <c r="D328" s="28">
        <f t="shared" ref="D328:D360" si="22">ROUND((100/SQRT(2))*LOG10((A328+10*SQRT(2))/(10*SQRT(2))), 0)</f>
        <v>97</v>
      </c>
      <c r="E328" s="42">
        <f t="shared" ref="E328:E353" si="23">D328/(100-D328)*100</f>
        <v>3233.3333333333335</v>
      </c>
    </row>
    <row r="329" spans="1:5">
      <c r="A329" s="28">
        <v>322</v>
      </c>
      <c r="B329" s="42">
        <f t="shared" si="20"/>
        <v>97.298455745365814</v>
      </c>
      <c r="C329" s="42">
        <f t="shared" si="21"/>
        <v>3601.5865954615251</v>
      </c>
      <c r="D329" s="28">
        <f t="shared" si="22"/>
        <v>97</v>
      </c>
      <c r="E329" s="42">
        <f t="shared" si="23"/>
        <v>3233.3333333333335</v>
      </c>
    </row>
    <row r="330" spans="1:5">
      <c r="A330" s="28">
        <v>323</v>
      </c>
      <c r="B330" s="42">
        <f t="shared" si="20"/>
        <v>97.38967807510511</v>
      </c>
      <c r="C330" s="42">
        <f t="shared" si="21"/>
        <v>3730.9451047508901</v>
      </c>
      <c r="D330" s="28">
        <f t="shared" si="22"/>
        <v>97</v>
      </c>
      <c r="E330" s="42">
        <f t="shared" si="23"/>
        <v>3233.3333333333335</v>
      </c>
    </row>
    <row r="331" spans="1:5">
      <c r="A331" s="28">
        <v>324</v>
      </c>
      <c r="B331" s="42">
        <f t="shared" si="20"/>
        <v>97.480630229846469</v>
      </c>
      <c r="C331" s="42">
        <f t="shared" si="21"/>
        <v>3869.2466419451384</v>
      </c>
      <c r="D331" s="28">
        <f t="shared" si="22"/>
        <v>97</v>
      </c>
      <c r="E331" s="42">
        <f t="shared" si="23"/>
        <v>3233.3333333333335</v>
      </c>
    </row>
    <row r="332" spans="1:5">
      <c r="A332" s="28">
        <v>325</v>
      </c>
      <c r="B332" s="42">
        <f t="shared" si="20"/>
        <v>97.571313805230574</v>
      </c>
      <c r="C332" s="42">
        <f t="shared" si="21"/>
        <v>4017.4524817313327</v>
      </c>
      <c r="D332" s="28">
        <f t="shared" si="22"/>
        <v>98</v>
      </c>
      <c r="E332" s="42">
        <f t="shared" si="23"/>
        <v>4900</v>
      </c>
    </row>
    <row r="333" spans="1:5">
      <c r="A333" s="28">
        <v>326</v>
      </c>
      <c r="B333" s="42">
        <f t="shared" si="20"/>
        <v>97.661730382804095</v>
      </c>
      <c r="C333" s="42">
        <f t="shared" si="21"/>
        <v>4176.6667823329026</v>
      </c>
      <c r="D333" s="28">
        <f t="shared" si="22"/>
        <v>98</v>
      </c>
      <c r="E333" s="42">
        <f t="shared" si="23"/>
        <v>4900</v>
      </c>
    </row>
    <row r="334" spans="1:5">
      <c r="A334" s="28">
        <v>327</v>
      </c>
      <c r="B334" s="42">
        <f t="shared" si="20"/>
        <v>97.751881530185102</v>
      </c>
      <c r="C334" s="42">
        <f t="shared" si="21"/>
        <v>4348.164157836115</v>
      </c>
      <c r="D334" s="28">
        <f t="shared" si="22"/>
        <v>98</v>
      </c>
      <c r="E334" s="42">
        <f t="shared" si="23"/>
        <v>4900</v>
      </c>
    </row>
    <row r="335" spans="1:5">
      <c r="A335" s="28">
        <v>328</v>
      </c>
      <c r="B335" s="42">
        <f t="shared" si="20"/>
        <v>97.841768801226237</v>
      </c>
      <c r="C335" s="42">
        <f t="shared" si="21"/>
        <v>4533.4238916023814</v>
      </c>
      <c r="D335" s="28">
        <f t="shared" si="22"/>
        <v>98</v>
      </c>
      <c r="E335" s="42">
        <f t="shared" si="23"/>
        <v>4900</v>
      </c>
    </row>
    <row r="336" spans="1:5">
      <c r="A336" s="28">
        <v>329</v>
      </c>
      <c r="B336" s="42">
        <f t="shared" si="20"/>
        <v>97.931393736175309</v>
      </c>
      <c r="C336" s="42">
        <f t="shared" si="21"/>
        <v>4734.1727349847542</v>
      </c>
      <c r="D336" s="28">
        <f t="shared" si="22"/>
        <v>98</v>
      </c>
      <c r="E336" s="42">
        <f t="shared" si="23"/>
        <v>4900</v>
      </c>
    </row>
    <row r="337" spans="1:5">
      <c r="A337" s="28">
        <v>330</v>
      </c>
      <c r="B337" s="42">
        <f t="shared" si="20"/>
        <v>98.020757861833744</v>
      </c>
      <c r="C337" s="42">
        <f t="shared" si="21"/>
        <v>4952.4389144548413</v>
      </c>
      <c r="D337" s="28">
        <f t="shared" si="22"/>
        <v>98</v>
      </c>
      <c r="E337" s="42">
        <f t="shared" si="23"/>
        <v>4900</v>
      </c>
    </row>
    <row r="338" spans="1:5">
      <c r="A338" s="28">
        <v>331</v>
      </c>
      <c r="B338" s="42">
        <f t="shared" si="20"/>
        <v>98.109862691712593</v>
      </c>
      <c r="C338" s="42">
        <f t="shared" si="21"/>
        <v>5190.6209279899767</v>
      </c>
      <c r="D338" s="28">
        <f t="shared" si="22"/>
        <v>98</v>
      </c>
      <c r="E338" s="42">
        <f t="shared" si="23"/>
        <v>4900</v>
      </c>
    </row>
    <row r="339" spans="1:5">
      <c r="A339" s="28">
        <v>332</v>
      </c>
      <c r="B339" s="42">
        <f t="shared" si="20"/>
        <v>98.198709726186365</v>
      </c>
      <c r="C339" s="42">
        <f t="shared" si="21"/>
        <v>5451.5760815319991</v>
      </c>
      <c r="D339" s="28">
        <f t="shared" si="22"/>
        <v>98</v>
      </c>
      <c r="E339" s="42">
        <f t="shared" si="23"/>
        <v>4900</v>
      </c>
    </row>
    <row r="340" spans="1:5">
      <c r="A340" s="28">
        <v>333</v>
      </c>
      <c r="B340" s="42">
        <f t="shared" si="20"/>
        <v>98.287300452644587</v>
      </c>
      <c r="C340" s="42">
        <f t="shared" si="21"/>
        <v>5738.7357055363527</v>
      </c>
      <c r="D340" s="28">
        <f t="shared" si="22"/>
        <v>98</v>
      </c>
      <c r="E340" s="42">
        <f t="shared" si="23"/>
        <v>4900</v>
      </c>
    </row>
    <row r="341" spans="1:5">
      <c r="A341" s="28">
        <v>334</v>
      </c>
      <c r="B341" s="42">
        <f t="shared" si="20"/>
        <v>98.37563634564124</v>
      </c>
      <c r="C341" s="42">
        <f t="shared" si="21"/>
        <v>6056.2569275459682</v>
      </c>
      <c r="D341" s="28">
        <f t="shared" si="22"/>
        <v>98</v>
      </c>
      <c r="E341" s="42">
        <f t="shared" si="23"/>
        <v>4900</v>
      </c>
    </row>
    <row r="342" spans="1:5">
      <c r="A342" s="28">
        <v>335</v>
      </c>
      <c r="B342" s="42">
        <f t="shared" si="20"/>
        <v>98.463718867042019</v>
      </c>
      <c r="C342" s="42">
        <f t="shared" si="21"/>
        <v>6409.2252879170846</v>
      </c>
      <c r="D342" s="28">
        <f t="shared" si="22"/>
        <v>98</v>
      </c>
      <c r="E342" s="42">
        <f t="shared" si="23"/>
        <v>4900</v>
      </c>
    </row>
    <row r="343" spans="1:5">
      <c r="A343" s="28">
        <v>336</v>
      </c>
      <c r="B343" s="42">
        <f t="shared" si="20"/>
        <v>98.551549466169462</v>
      </c>
      <c r="C343" s="42">
        <f t="shared" si="21"/>
        <v>6803.9292446903492</v>
      </c>
      <c r="D343" s="28">
        <f t="shared" si="22"/>
        <v>99</v>
      </c>
      <c r="E343" s="42">
        <f t="shared" si="23"/>
        <v>9900</v>
      </c>
    </row>
    <row r="344" spans="1:5">
      <c r="A344" s="28">
        <v>337</v>
      </c>
      <c r="B344" s="42">
        <f t="shared" si="20"/>
        <v>98.639129579946072</v>
      </c>
      <c r="C344" s="42">
        <f t="shared" si="21"/>
        <v>7248.2381956716536</v>
      </c>
      <c r="D344" s="28">
        <f t="shared" si="22"/>
        <v>99</v>
      </c>
      <c r="E344" s="42">
        <f t="shared" si="23"/>
        <v>9900</v>
      </c>
    </row>
    <row r="345" spans="1:5">
      <c r="A345" s="28">
        <v>338</v>
      </c>
      <c r="B345" s="42">
        <f t="shared" si="20"/>
        <v>98.726460633035344</v>
      </c>
      <c r="C345" s="42">
        <f t="shared" si="21"/>
        <v>7752.1326151337798</v>
      </c>
      <c r="D345" s="28">
        <f t="shared" si="22"/>
        <v>99</v>
      </c>
      <c r="E345" s="42">
        <f t="shared" si="23"/>
        <v>9900</v>
      </c>
    </row>
    <row r="346" spans="1:5">
      <c r="A346" s="28">
        <v>339</v>
      </c>
      <c r="B346" s="42">
        <f t="shared" si="20"/>
        <v>98.813544037980876</v>
      </c>
      <c r="C346" s="42">
        <f t="shared" si="21"/>
        <v>8328.4628508098049</v>
      </c>
      <c r="D346" s="28">
        <f t="shared" si="22"/>
        <v>99</v>
      </c>
      <c r="E346" s="42">
        <f t="shared" si="23"/>
        <v>9900</v>
      </c>
    </row>
    <row r="347" spans="1:5">
      <c r="A347" s="28">
        <v>340</v>
      </c>
      <c r="B347" s="42">
        <f t="shared" si="20"/>
        <v>98.900381195343343</v>
      </c>
      <c r="C347" s="42">
        <f t="shared" si="21"/>
        <v>8994.0605577606311</v>
      </c>
      <c r="D347" s="28">
        <f t="shared" si="22"/>
        <v>99</v>
      </c>
      <c r="E347" s="42">
        <f t="shared" si="23"/>
        <v>9900</v>
      </c>
    </row>
    <row r="348" spans="1:5">
      <c r="A348" s="28">
        <v>341</v>
      </c>
      <c r="B348" s="42">
        <f t="shared" si="20"/>
        <v>98.986973493835762</v>
      </c>
      <c r="C348" s="42">
        <f t="shared" si="21"/>
        <v>9771.4100165694417</v>
      </c>
      <c r="D348" s="28">
        <f t="shared" si="22"/>
        <v>99</v>
      </c>
      <c r="E348" s="42">
        <f t="shared" si="23"/>
        <v>9900</v>
      </c>
    </row>
    <row r="349" spans="1:5">
      <c r="A349" s="28">
        <v>342</v>
      </c>
      <c r="B349" s="42">
        <f t="shared" si="20"/>
        <v>99.073322310456717</v>
      </c>
      <c r="C349" s="42">
        <v>9900</v>
      </c>
      <c r="D349" s="28">
        <f t="shared" si="22"/>
        <v>99</v>
      </c>
      <c r="E349" s="42">
        <f t="shared" si="23"/>
        <v>9900</v>
      </c>
    </row>
    <row r="350" spans="1:5">
      <c r="A350" s="28">
        <v>343</v>
      </c>
      <c r="B350" s="42">
        <f t="shared" si="20"/>
        <v>99.159429010621693</v>
      </c>
      <c r="C350" s="42">
        <v>9900</v>
      </c>
      <c r="D350" s="28">
        <f t="shared" si="22"/>
        <v>99</v>
      </c>
      <c r="E350" s="42">
        <f t="shared" si="23"/>
        <v>9900</v>
      </c>
    </row>
    <row r="351" spans="1:5">
      <c r="A351" s="28">
        <v>344</v>
      </c>
      <c r="B351" s="42">
        <f t="shared" si="20"/>
        <v>99.24529494829271</v>
      </c>
      <c r="C351" s="42">
        <v>9900</v>
      </c>
      <c r="D351" s="28">
        <f t="shared" si="22"/>
        <v>99</v>
      </c>
      <c r="E351" s="42">
        <f t="shared" si="23"/>
        <v>9900</v>
      </c>
    </row>
    <row r="352" spans="1:5">
      <c r="A352" s="28">
        <v>345</v>
      </c>
      <c r="B352" s="42">
        <f t="shared" si="20"/>
        <v>99.330921466105991</v>
      </c>
      <c r="C352" s="42">
        <v>9900</v>
      </c>
      <c r="D352" s="28">
        <f t="shared" si="22"/>
        <v>99</v>
      </c>
      <c r="E352" s="42">
        <f t="shared" si="23"/>
        <v>9900</v>
      </c>
    </row>
    <row r="353" spans="1:5">
      <c r="A353" s="28">
        <v>346</v>
      </c>
      <c r="B353" s="42">
        <f t="shared" si="20"/>
        <v>99.41630989549796</v>
      </c>
      <c r="C353" s="42">
        <v>9900</v>
      </c>
      <c r="D353" s="28">
        <f t="shared" si="22"/>
        <v>99</v>
      </c>
      <c r="E353" s="42">
        <f t="shared" si="23"/>
        <v>9900</v>
      </c>
    </row>
    <row r="354" spans="1:5">
      <c r="A354" s="28">
        <v>347</v>
      </c>
      <c r="B354" s="42">
        <f t="shared" si="20"/>
        <v>99.501461556829497</v>
      </c>
      <c r="C354" s="42">
        <v>9900</v>
      </c>
      <c r="D354" s="28">
        <f t="shared" si="22"/>
        <v>100</v>
      </c>
      <c r="E354" s="28">
        <v>9900</v>
      </c>
    </row>
    <row r="355" spans="1:5">
      <c r="A355" s="28">
        <v>348</v>
      </c>
      <c r="B355" s="42">
        <f t="shared" si="20"/>
        <v>99.586377759508395</v>
      </c>
      <c r="C355" s="42">
        <v>9900</v>
      </c>
      <c r="D355" s="28">
        <f t="shared" si="22"/>
        <v>100</v>
      </c>
      <c r="E355" s="28">
        <v>9900</v>
      </c>
    </row>
    <row r="356" spans="1:5">
      <c r="A356" s="28">
        <v>349</v>
      </c>
      <c r="B356" s="42">
        <f t="shared" si="20"/>
        <v>99.67105980211015</v>
      </c>
      <c r="C356" s="42">
        <v>9900</v>
      </c>
      <c r="D356" s="28">
        <f t="shared" si="22"/>
        <v>100</v>
      </c>
      <c r="E356" s="28">
        <v>9900</v>
      </c>
    </row>
    <row r="357" spans="1:5">
      <c r="A357" s="28">
        <v>350</v>
      </c>
      <c r="B357" s="42">
        <f t="shared" si="20"/>
        <v>99.755508972497225</v>
      </c>
      <c r="C357" s="42">
        <v>9900</v>
      </c>
      <c r="D357" s="28">
        <f t="shared" si="22"/>
        <v>100</v>
      </c>
      <c r="E357" s="28">
        <v>9900</v>
      </c>
    </row>
    <row r="358" spans="1:5">
      <c r="A358" s="28">
        <v>351</v>
      </c>
      <c r="B358" s="42">
        <f t="shared" si="20"/>
        <v>99.839726547936451</v>
      </c>
      <c r="C358" s="42">
        <v>9900</v>
      </c>
      <c r="D358" s="28">
        <f t="shared" si="22"/>
        <v>100</v>
      </c>
      <c r="E358" s="28">
        <v>9900</v>
      </c>
    </row>
    <row r="359" spans="1:5">
      <c r="A359" s="28">
        <v>352</v>
      </c>
      <c r="B359" s="42">
        <f t="shared" si="20"/>
        <v>99.923713795214951</v>
      </c>
      <c r="C359" s="42">
        <v>9900</v>
      </c>
      <c r="D359" s="28">
        <f t="shared" si="22"/>
        <v>100</v>
      </c>
      <c r="E359" s="28">
        <v>9900</v>
      </c>
    </row>
    <row r="360" spans="1:5">
      <c r="A360" s="28">
        <v>353</v>
      </c>
      <c r="B360" s="42">
        <f t="shared" si="20"/>
        <v>100.00747197075459</v>
      </c>
      <c r="C360" s="42">
        <v>9900</v>
      </c>
      <c r="D360" s="28">
        <f t="shared" si="22"/>
        <v>100</v>
      </c>
      <c r="E360" s="28">
        <v>9900</v>
      </c>
    </row>
    <row r="361" spans="1:5">
      <c r="B361" s="1"/>
      <c r="C361" s="1"/>
    </row>
    <row r="362" spans="1:5">
      <c r="B362" s="1"/>
      <c r="C362" s="1"/>
    </row>
    <row r="363" spans="1:5">
      <c r="B363" s="1"/>
      <c r="C363" s="1"/>
    </row>
    <row r="364" spans="1:5">
      <c r="B364" s="1"/>
      <c r="C364" s="1"/>
    </row>
    <row r="365" spans="1:5">
      <c r="B365" s="1"/>
      <c r="C365" s="1"/>
    </row>
  </sheetData>
  <mergeCells count="1">
    <mergeCell ref="A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5819-D6A4-48DD-9B58-FFB4D634DA1D}">
  <dimension ref="A1:J29"/>
  <sheetViews>
    <sheetView workbookViewId="0">
      <selection activeCell="O28" sqref="O28"/>
    </sheetView>
  </sheetViews>
  <sheetFormatPr defaultRowHeight="15"/>
  <cols>
    <col min="1" max="1" width="32.42578125" bestFit="1" customWidth="1"/>
    <col min="2" max="2" width="10.7109375" customWidth="1"/>
    <col min="3" max="3" width="16.140625" customWidth="1"/>
    <col min="4" max="4" width="16.7109375" customWidth="1"/>
    <col min="5" max="5" width="11" customWidth="1"/>
    <col min="7" max="7" width="14.5703125" customWidth="1"/>
    <col min="8" max="8" width="11.5703125" customWidth="1"/>
    <col min="9" max="9" width="13.5703125" customWidth="1"/>
    <col min="10" max="10" width="14.42578125" customWidth="1"/>
  </cols>
  <sheetData>
    <row r="1" spans="1:10" ht="15.75" thickBot="1">
      <c r="A1" s="3" t="s">
        <v>14</v>
      </c>
      <c r="B1" s="4" t="s">
        <v>13</v>
      </c>
      <c r="C1" s="28"/>
      <c r="D1" s="29" t="s">
        <v>15</v>
      </c>
      <c r="E1" s="34" t="s">
        <v>13</v>
      </c>
      <c r="G1" s="53" t="s">
        <v>31</v>
      </c>
      <c r="H1" s="54"/>
      <c r="I1" s="55"/>
    </row>
    <row r="2" spans="1:10" ht="15.75" thickBot="1">
      <c r="A2" s="28" t="s">
        <v>12</v>
      </c>
      <c r="B2" s="43">
        <v>11</v>
      </c>
      <c r="C2" s="28"/>
      <c r="D2" s="28" t="s">
        <v>5</v>
      </c>
      <c r="E2" s="28">
        <v>7.5</v>
      </c>
      <c r="G2" s="56"/>
      <c r="H2" s="57"/>
      <c r="I2" s="58"/>
    </row>
    <row r="3" spans="1:10" ht="15.75" thickBot="1">
      <c r="A3" s="5" t="s">
        <v>0</v>
      </c>
      <c r="B3" s="28">
        <v>10</v>
      </c>
      <c r="C3" s="28"/>
      <c r="D3" s="28" t="s">
        <v>1</v>
      </c>
      <c r="E3" s="28">
        <v>5</v>
      </c>
      <c r="G3" s="6" t="s">
        <v>32</v>
      </c>
      <c r="H3" s="7" t="s">
        <v>33</v>
      </c>
      <c r="I3" s="7" t="s">
        <v>34</v>
      </c>
      <c r="J3" s="8" t="s">
        <v>35</v>
      </c>
    </row>
    <row r="4" spans="1:10" ht="15.75" thickBot="1">
      <c r="A4" s="9" t="s">
        <v>1</v>
      </c>
      <c r="B4" s="28">
        <v>15</v>
      </c>
      <c r="C4" s="28"/>
      <c r="D4" s="28" t="s">
        <v>6</v>
      </c>
      <c r="E4" s="28">
        <v>6</v>
      </c>
      <c r="G4" s="28">
        <v>1000</v>
      </c>
      <c r="H4" s="46">
        <f>(G4+$E$8)*((1+($E$9+$B$11)/100))*(2.5+$B$5/100)</f>
        <v>3719.5157999999997</v>
      </c>
      <c r="I4" s="42">
        <f>(G4+$E$8)*((1+($E$9+$B$11)/100))</f>
        <v>1300.53</v>
      </c>
      <c r="J4" s="42">
        <f>((0.3+$E$5/100)*(H4))+((1-((0.3+$E$5/100)))*I4)</f>
        <v>2473.7381129999999</v>
      </c>
    </row>
    <row r="5" spans="1:10">
      <c r="A5" s="28" t="s">
        <v>3</v>
      </c>
      <c r="B5" s="28">
        <f>SUM(B2:B4)</f>
        <v>36</v>
      </c>
      <c r="C5" s="28"/>
      <c r="D5" s="28" t="s">
        <v>3</v>
      </c>
      <c r="E5" s="28">
        <f>SUM(E2:E4)</f>
        <v>18.5</v>
      </c>
      <c r="G5" s="28">
        <v>1100</v>
      </c>
      <c r="H5" s="46">
        <f t="shared" ref="H5:H14" si="0">(G5+$E$8)*((1+($E$9+$B$11)/100))*(2.5+$B$5/100)</f>
        <v>4041.5517999999993</v>
      </c>
      <c r="I5" s="42">
        <f t="shared" ref="I5:I14" si="1">(G5+$E$8)*((1+($E$9+$B$11)/100))</f>
        <v>1413.1299999999999</v>
      </c>
      <c r="J5" s="42">
        <f t="shared" ref="J5:J14" si="2">((0.3+$E$5/100)*(H5))+((1-((0.3+$E$5/100)))*I5)</f>
        <v>2687.9145729999996</v>
      </c>
    </row>
    <row r="6" spans="1:10" ht="15.75" thickBot="1">
      <c r="A6" s="28"/>
      <c r="B6" s="28"/>
      <c r="C6" s="28"/>
      <c r="D6" s="28"/>
      <c r="E6" s="28"/>
      <c r="G6" s="28">
        <v>1200</v>
      </c>
      <c r="H6" s="46">
        <f t="shared" si="0"/>
        <v>4363.5877999999993</v>
      </c>
      <c r="I6" s="42">
        <f t="shared" si="1"/>
        <v>1525.7299999999998</v>
      </c>
      <c r="J6" s="42">
        <f t="shared" si="2"/>
        <v>2902.0910329999997</v>
      </c>
    </row>
    <row r="7" spans="1:10" ht="15.75" customHeight="1" thickBot="1">
      <c r="A7" s="10" t="s">
        <v>19</v>
      </c>
      <c r="B7" s="11" t="s">
        <v>13</v>
      </c>
      <c r="C7" s="28"/>
      <c r="D7" s="52" t="s">
        <v>20</v>
      </c>
      <c r="E7" s="52"/>
      <c r="G7" s="28">
        <v>1300</v>
      </c>
      <c r="H7" s="46">
        <f t="shared" si="0"/>
        <v>4685.6237999999994</v>
      </c>
      <c r="I7" s="42">
        <f t="shared" si="1"/>
        <v>1638.33</v>
      </c>
      <c r="J7" s="42">
        <f t="shared" si="2"/>
        <v>3116.2674929999998</v>
      </c>
    </row>
    <row r="8" spans="1:10" ht="15.75" thickBot="1">
      <c r="A8" s="12" t="s">
        <v>16</v>
      </c>
      <c r="B8" s="13">
        <v>0.6</v>
      </c>
      <c r="C8" s="28"/>
      <c r="D8" s="30" t="s">
        <v>21</v>
      </c>
      <c r="E8" s="31">
        <v>155</v>
      </c>
      <c r="G8" s="28">
        <v>1400</v>
      </c>
      <c r="H8" s="46">
        <f t="shared" si="0"/>
        <v>5007.6597999999994</v>
      </c>
      <c r="I8" s="42">
        <f t="shared" si="1"/>
        <v>1750.9299999999998</v>
      </c>
      <c r="J8" s="42">
        <f t="shared" si="2"/>
        <v>3330.443953</v>
      </c>
    </row>
    <row r="9" spans="1:10" ht="15.75" thickBot="1">
      <c r="A9" s="12" t="s">
        <v>17</v>
      </c>
      <c r="B9" s="14">
        <v>1</v>
      </c>
      <c r="C9" s="28"/>
      <c r="D9" s="30" t="s">
        <v>22</v>
      </c>
      <c r="E9" s="31">
        <v>9</v>
      </c>
      <c r="G9" s="28">
        <v>1500</v>
      </c>
      <c r="H9" s="46">
        <f t="shared" si="0"/>
        <v>5329.6957999999986</v>
      </c>
      <c r="I9" s="42">
        <f t="shared" si="1"/>
        <v>1863.5299999999997</v>
      </c>
      <c r="J9" s="42">
        <f t="shared" si="2"/>
        <v>3544.6204129999992</v>
      </c>
    </row>
    <row r="10" spans="1:10" ht="15.75" thickBot="1">
      <c r="A10" s="12" t="s">
        <v>18</v>
      </c>
      <c r="B10" s="15">
        <v>2</v>
      </c>
      <c r="C10" s="28"/>
      <c r="D10" s="32" t="s">
        <v>7</v>
      </c>
      <c r="E10" s="33">
        <v>74</v>
      </c>
      <c r="G10" s="28">
        <v>1600</v>
      </c>
      <c r="H10" s="46">
        <f t="shared" si="0"/>
        <v>5651.7317999999996</v>
      </c>
      <c r="I10" s="42">
        <f t="shared" si="1"/>
        <v>1976.1299999999999</v>
      </c>
      <c r="J10" s="42">
        <f t="shared" si="2"/>
        <v>3758.7968729999993</v>
      </c>
    </row>
    <row r="11" spans="1:10" ht="15.75" thickBot="1">
      <c r="A11" s="17" t="s">
        <v>3</v>
      </c>
      <c r="B11" s="18">
        <v>3.6</v>
      </c>
      <c r="C11" s="28"/>
      <c r="D11" s="28"/>
      <c r="E11" s="28"/>
      <c r="G11" s="28">
        <v>1700</v>
      </c>
      <c r="H11" s="46">
        <f t="shared" si="0"/>
        <v>5973.7677999999996</v>
      </c>
      <c r="I11" s="42">
        <f t="shared" si="1"/>
        <v>2088.73</v>
      </c>
      <c r="J11" s="42">
        <f t="shared" si="2"/>
        <v>3972.9733329999999</v>
      </c>
    </row>
    <row r="12" spans="1:10">
      <c r="A12" s="28"/>
      <c r="B12" s="28"/>
      <c r="C12" s="28"/>
      <c r="D12" s="28"/>
      <c r="E12" s="28"/>
      <c r="G12" s="28">
        <v>1800</v>
      </c>
      <c r="H12" s="46">
        <f t="shared" si="0"/>
        <v>6295.8037999999997</v>
      </c>
      <c r="I12" s="42">
        <f t="shared" si="1"/>
        <v>2201.33</v>
      </c>
      <c r="J12" s="42">
        <f t="shared" si="2"/>
        <v>4187.1497929999996</v>
      </c>
    </row>
    <row r="13" spans="1:10" ht="15.75" thickBot="1">
      <c r="A13" s="19" t="s">
        <v>23</v>
      </c>
      <c r="B13" s="28"/>
      <c r="C13" s="28"/>
      <c r="D13" s="28"/>
      <c r="E13" s="28"/>
      <c r="G13" s="28">
        <v>1900</v>
      </c>
      <c r="H13" s="46">
        <f t="shared" si="0"/>
        <v>6617.8397999999988</v>
      </c>
      <c r="I13" s="42">
        <f t="shared" si="1"/>
        <v>2313.9299999999998</v>
      </c>
      <c r="J13" s="42">
        <f t="shared" si="2"/>
        <v>4401.3262529999993</v>
      </c>
    </row>
    <row r="14" spans="1:10" ht="15.75" thickBot="1">
      <c r="A14" s="28" t="s">
        <v>8</v>
      </c>
      <c r="B14" s="43">
        <v>1300</v>
      </c>
      <c r="C14" s="28"/>
      <c r="D14" s="28"/>
      <c r="E14" s="28"/>
      <c r="G14" s="28">
        <v>2000</v>
      </c>
      <c r="H14" s="46">
        <f t="shared" si="0"/>
        <v>6939.8757999999989</v>
      </c>
      <c r="I14" s="42">
        <f t="shared" si="1"/>
        <v>2426.5299999999997</v>
      </c>
      <c r="J14" s="42">
        <f t="shared" si="2"/>
        <v>4615.5027129999999</v>
      </c>
    </row>
    <row r="15" spans="1:10" ht="15.75" thickBot="1">
      <c r="A15" s="28" t="s">
        <v>24</v>
      </c>
      <c r="B15" s="42">
        <f>($B$14+$E$8)*((1+($E$9+$B$11)/100))*(2.5+$B$5/100)*((0.3+$E$5/100))+(($B$14+$E$8)*((1+($E$9+$B$11)/100))*(1-((0.3+$E$5/100))))</f>
        <v>3116.2674929999998</v>
      </c>
      <c r="C15" s="28"/>
      <c r="D15" s="28"/>
      <c r="E15" s="28"/>
    </row>
    <row r="16" spans="1:10" ht="15.75" thickBot="1">
      <c r="A16" s="44" t="s">
        <v>25</v>
      </c>
      <c r="B16" s="45">
        <f>($B$14)*((1+($B$11)/100))*(2.5+(($B$5+$E$10)/100))*((0.3+$E$5/100))+($B$14*((1+($B$11)/100)))*(1-((0.3+$E$5/100)))</f>
        <v>3045.1147999999994</v>
      </c>
      <c r="C16" s="28"/>
      <c r="D16" s="28"/>
      <c r="E16" s="28"/>
      <c r="G16" s="59" t="s">
        <v>36</v>
      </c>
      <c r="H16" s="60"/>
      <c r="I16" s="61"/>
    </row>
    <row r="17" spans="1:10" ht="15.75" thickBot="1">
      <c r="A17" s="28" t="s">
        <v>26</v>
      </c>
      <c r="B17" s="40" t="str">
        <f>IF(B15&gt;B16, "BLUE", IF(B16&gt;B15, "RED", "EITHER"))</f>
        <v>BLUE</v>
      </c>
      <c r="C17" s="28"/>
      <c r="D17" s="28"/>
      <c r="E17" s="28"/>
      <c r="G17" s="62"/>
      <c r="H17" s="63"/>
      <c r="I17" s="64"/>
    </row>
    <row r="18" spans="1:10" ht="15.75" thickBot="1">
      <c r="A18" s="28"/>
      <c r="B18" s="28"/>
      <c r="C18" s="28"/>
      <c r="D18" s="28"/>
      <c r="E18" s="28"/>
      <c r="G18" s="6" t="s">
        <v>32</v>
      </c>
      <c r="H18" s="7" t="s">
        <v>33</v>
      </c>
      <c r="I18" s="7" t="s">
        <v>34</v>
      </c>
      <c r="J18" s="8" t="s">
        <v>35</v>
      </c>
    </row>
    <row r="19" spans="1:10" ht="15.75" thickBot="1">
      <c r="A19" s="28"/>
      <c r="B19" s="28"/>
      <c r="C19" s="28"/>
      <c r="D19" s="28"/>
      <c r="E19" s="28"/>
      <c r="G19" s="47">
        <v>1000</v>
      </c>
      <c r="H19" s="42">
        <f>(G19)*((1+($B$11)/100))*(2.5+($B$5+$E$10)/100)</f>
        <v>3729.6</v>
      </c>
      <c r="I19" s="42">
        <f>(G19)*((1+($B$11)/100))</f>
        <v>1036</v>
      </c>
      <c r="J19" s="42">
        <f>((0.3+$E$5/100)*(H19))+((1-((0.3+$E$5/100)))*I19)</f>
        <v>2342.3959999999997</v>
      </c>
    </row>
    <row r="20" spans="1:10" ht="27.75" thickBot="1">
      <c r="A20" s="20" t="s">
        <v>27</v>
      </c>
      <c r="B20" s="21" t="s">
        <v>21</v>
      </c>
      <c r="C20" s="22" t="s">
        <v>22</v>
      </c>
      <c r="D20" s="23" t="s">
        <v>7</v>
      </c>
      <c r="E20" s="28"/>
      <c r="G20" s="47">
        <v>1100</v>
      </c>
      <c r="H20" s="42">
        <f t="shared" ref="H20:H29" si="3">(G20)*((1+($B$11)/100))*(2.5+($B$5+$E$10)/100)</f>
        <v>4102.5600000000004</v>
      </c>
      <c r="I20" s="42">
        <f t="shared" ref="I20:I29" si="4">(G20)*((1+($B$11)/100))</f>
        <v>1139.6000000000001</v>
      </c>
      <c r="J20" s="42">
        <f t="shared" ref="J20:J29" si="5">((0.3+$E$5/100)*(H20))+((1-((0.3+$E$5/100)))*I20)</f>
        <v>2576.6356000000001</v>
      </c>
    </row>
    <row r="21" spans="1:10" ht="54.75" thickBot="1">
      <c r="A21" s="9" t="s">
        <v>28</v>
      </c>
      <c r="B21" s="24">
        <v>155</v>
      </c>
      <c r="C21" s="24">
        <v>9</v>
      </c>
      <c r="D21" s="25">
        <v>74</v>
      </c>
      <c r="E21" s="28"/>
      <c r="G21" s="47">
        <v>1200</v>
      </c>
      <c r="H21" s="42">
        <f t="shared" si="3"/>
        <v>4475.5200000000004</v>
      </c>
      <c r="I21" s="42">
        <f t="shared" si="4"/>
        <v>1243.2</v>
      </c>
      <c r="J21" s="42">
        <f t="shared" si="5"/>
        <v>2810.8752000000004</v>
      </c>
    </row>
    <row r="22" spans="1:10" ht="15.75" thickBot="1">
      <c r="A22" s="9" t="s">
        <v>29</v>
      </c>
      <c r="B22" s="24">
        <v>120</v>
      </c>
      <c r="C22" s="24">
        <v>5</v>
      </c>
      <c r="D22" s="25">
        <v>50</v>
      </c>
      <c r="E22" s="28"/>
      <c r="G22" s="47">
        <v>1300</v>
      </c>
      <c r="H22" s="42">
        <f t="shared" si="3"/>
        <v>4848.4799999999996</v>
      </c>
      <c r="I22" s="42">
        <f t="shared" si="4"/>
        <v>1346.8</v>
      </c>
      <c r="J22" s="42">
        <f t="shared" si="5"/>
        <v>3045.1147999999994</v>
      </c>
    </row>
    <row r="23" spans="1:10" ht="15.75" thickBot="1">
      <c r="A23" s="26" t="s">
        <v>30</v>
      </c>
      <c r="B23" s="27">
        <v>120</v>
      </c>
      <c r="C23" s="27">
        <v>5</v>
      </c>
      <c r="D23" s="16">
        <v>63</v>
      </c>
      <c r="E23" s="28"/>
      <c r="G23" s="47">
        <v>1400</v>
      </c>
      <c r="H23" s="42">
        <f t="shared" si="3"/>
        <v>5221.4400000000005</v>
      </c>
      <c r="I23" s="42">
        <f t="shared" si="4"/>
        <v>1450.4</v>
      </c>
      <c r="J23" s="42">
        <f t="shared" si="5"/>
        <v>3279.3544000000002</v>
      </c>
    </row>
    <row r="24" spans="1:10">
      <c r="G24" s="47">
        <v>1500</v>
      </c>
      <c r="H24" s="42">
        <f t="shared" si="3"/>
        <v>5594.4000000000005</v>
      </c>
      <c r="I24" s="42">
        <f t="shared" si="4"/>
        <v>1554</v>
      </c>
      <c r="J24" s="42">
        <f t="shared" si="5"/>
        <v>3513.5940000000001</v>
      </c>
    </row>
    <row r="25" spans="1:10">
      <c r="G25" s="47">
        <v>1600</v>
      </c>
      <c r="H25" s="42">
        <f t="shared" si="3"/>
        <v>5967.3600000000006</v>
      </c>
      <c r="I25" s="42">
        <f t="shared" si="4"/>
        <v>1657.6000000000001</v>
      </c>
      <c r="J25" s="42">
        <f t="shared" si="5"/>
        <v>3747.8336000000004</v>
      </c>
    </row>
    <row r="26" spans="1:10">
      <c r="G26" s="47">
        <v>1700</v>
      </c>
      <c r="H26" s="42">
        <f t="shared" si="3"/>
        <v>6340.3200000000006</v>
      </c>
      <c r="I26" s="42">
        <f t="shared" si="4"/>
        <v>1761.2</v>
      </c>
      <c r="J26" s="42">
        <f t="shared" si="5"/>
        <v>3982.0732000000003</v>
      </c>
    </row>
    <row r="27" spans="1:10">
      <c r="G27" s="47">
        <v>1800</v>
      </c>
      <c r="H27" s="42">
        <f t="shared" si="3"/>
        <v>6713.28</v>
      </c>
      <c r="I27" s="42">
        <f t="shared" si="4"/>
        <v>1864.8</v>
      </c>
      <c r="J27" s="42">
        <f t="shared" si="5"/>
        <v>4216.3127999999997</v>
      </c>
    </row>
    <row r="28" spans="1:10">
      <c r="G28" s="47">
        <v>1900</v>
      </c>
      <c r="H28" s="42">
        <f t="shared" si="3"/>
        <v>7086.2400000000007</v>
      </c>
      <c r="I28" s="42">
        <f t="shared" si="4"/>
        <v>1968.4</v>
      </c>
      <c r="J28" s="42">
        <f t="shared" si="5"/>
        <v>4450.5524000000005</v>
      </c>
    </row>
    <row r="29" spans="1:10">
      <c r="G29" s="47">
        <v>2000</v>
      </c>
      <c r="H29" s="42">
        <f t="shared" si="3"/>
        <v>7459.2</v>
      </c>
      <c r="I29" s="42">
        <f t="shared" si="4"/>
        <v>2072</v>
      </c>
      <c r="J29" s="42">
        <f t="shared" si="5"/>
        <v>4684.7919999999995</v>
      </c>
    </row>
  </sheetData>
  <mergeCells count="3">
    <mergeCell ref="D7:E7"/>
    <mergeCell ref="G1:I2"/>
    <mergeCell ref="G16:I17"/>
  </mergeCells>
  <conditionalFormatting sqref="B17">
    <cfRule type="cellIs" dxfId="4" priority="1" operator="equal">
      <formula>"BLUE"</formula>
    </cfRule>
    <cfRule type="cellIs" dxfId="3" priority="2" operator="equal">
      <formula>"RED"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FF93-E65A-4809-AD02-FFD134618E3F}">
  <dimension ref="A1:K12"/>
  <sheetViews>
    <sheetView workbookViewId="0">
      <selection activeCell="B5" sqref="B5"/>
    </sheetView>
  </sheetViews>
  <sheetFormatPr defaultRowHeight="13.5"/>
  <cols>
    <col min="1" max="1" width="29.5703125" style="28" customWidth="1"/>
    <col min="2" max="2" width="15.28515625" style="39" bestFit="1" customWidth="1"/>
    <col min="3" max="3" width="9.140625" style="28"/>
    <col min="4" max="4" width="15" style="28" customWidth="1"/>
    <col min="5" max="5" width="14.5703125" style="28" bestFit="1" customWidth="1"/>
    <col min="6" max="10" width="9.140625" style="28"/>
    <col min="11" max="11" width="10.7109375" style="28" customWidth="1"/>
    <col min="12" max="16384" width="9.140625" style="28"/>
  </cols>
  <sheetData>
    <row r="1" spans="1:11" ht="15" customHeight="1">
      <c r="A1" s="35" t="s">
        <v>14</v>
      </c>
      <c r="B1" s="36" t="s">
        <v>13</v>
      </c>
      <c r="D1" s="37" t="s">
        <v>15</v>
      </c>
      <c r="E1" s="38" t="s">
        <v>13</v>
      </c>
      <c r="G1" s="50" t="s">
        <v>37</v>
      </c>
      <c r="H1" s="50"/>
      <c r="I1" s="50"/>
      <c r="J1" s="50"/>
      <c r="K1" s="50"/>
    </row>
    <row r="2" spans="1:11" ht="27">
      <c r="A2" s="19" t="s">
        <v>4</v>
      </c>
      <c r="B2" s="28">
        <v>11</v>
      </c>
      <c r="G2" s="50"/>
      <c r="H2" s="50"/>
      <c r="I2" s="50"/>
      <c r="J2" s="50"/>
      <c r="K2" s="50"/>
    </row>
    <row r="3" spans="1:11">
      <c r="A3" s="28" t="s">
        <v>0</v>
      </c>
      <c r="B3" s="28">
        <v>10</v>
      </c>
      <c r="D3" s="28" t="s">
        <v>5</v>
      </c>
      <c r="E3" s="28">
        <v>7.5</v>
      </c>
    </row>
    <row r="4" spans="1:11" ht="14.25" thickBot="1">
      <c r="A4" s="28" t="s">
        <v>1</v>
      </c>
      <c r="B4" s="28">
        <v>15</v>
      </c>
      <c r="D4" s="28" t="s">
        <v>1</v>
      </c>
      <c r="E4" s="28">
        <v>5</v>
      </c>
    </row>
    <row r="5" spans="1:11" ht="14.25" thickBot="1">
      <c r="A5" s="28" t="s">
        <v>2</v>
      </c>
      <c r="B5" s="41">
        <v>74</v>
      </c>
      <c r="D5" s="28" t="s">
        <v>6</v>
      </c>
      <c r="E5" s="28">
        <v>6</v>
      </c>
    </row>
    <row r="6" spans="1:11">
      <c r="A6" s="28" t="s">
        <v>3</v>
      </c>
      <c r="B6" s="28">
        <f>SUM(B2:B5)</f>
        <v>110</v>
      </c>
      <c r="D6" s="28" t="s">
        <v>3</v>
      </c>
      <c r="E6" s="28">
        <f>SUM(E3:E5)</f>
        <v>18.5</v>
      </c>
    </row>
    <row r="7" spans="1:11" ht="14.25" thickBot="1">
      <c r="B7" s="28"/>
    </row>
    <row r="8" spans="1:11" ht="14.25" thickBot="1">
      <c r="A8" s="28" t="s">
        <v>8</v>
      </c>
      <c r="B8" s="41">
        <v>2700</v>
      </c>
    </row>
    <row r="9" spans="1:11">
      <c r="A9" s="28" t="s">
        <v>9</v>
      </c>
      <c r="B9" s="42">
        <f>(($B$8+25)*((100-(30+$E$6))/100)+(($B$8+25)*((250+($B$6))/100)*((30+$E$6)/100)))</f>
        <v>6161.2249999999995</v>
      </c>
    </row>
    <row r="10" spans="1:11">
      <c r="A10" s="28" t="s">
        <v>10</v>
      </c>
      <c r="B10" s="42">
        <f>(($B$8)*((100-(30+$E$6))/100)+(($B$8)*((250+5+($B$6))/100)*((30+$E$6)/100)))</f>
        <v>6170.1750000000002</v>
      </c>
    </row>
    <row r="12" spans="1:11">
      <c r="A12" s="28" t="s">
        <v>11</v>
      </c>
      <c r="B12" s="39" t="str">
        <f>IF(B9&gt;B10, "MAX", IF(B10&gt;B9, "CRIT DMG", "EITHER"))</f>
        <v>CRIT DMG</v>
      </c>
    </row>
  </sheetData>
  <mergeCells count="1">
    <mergeCell ref="G1:K2"/>
  </mergeCells>
  <conditionalFormatting sqref="B12">
    <cfRule type="cellIs" dxfId="2" priority="1" operator="equal">
      <formula>"Either"</formula>
    </cfRule>
    <cfRule type="cellIs" dxfId="1" priority="2" operator="equal">
      <formula>"CRIT DMG"</formula>
    </cfRule>
    <cfRule type="cellIs" dxfId="0" priority="3" operator="equal">
      <formula>"MAX"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Protection Logarithm</vt:lpstr>
      <vt:lpstr>Red vs. Blue Calculator</vt:lpstr>
      <vt:lpstr>Alban Totem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Keel</dc:creator>
  <cp:lastModifiedBy>Walter Keel</cp:lastModifiedBy>
  <dcterms:created xsi:type="dcterms:W3CDTF">2026-07-02T23:44:43Z</dcterms:created>
  <dcterms:modified xsi:type="dcterms:W3CDTF">2026-07-05T02:50:19Z</dcterms:modified>
</cp:coreProperties>
</file>